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enjaminwlodawer/Library/CloudStorage/Dropbox/Young Engineers/$/"/>
    </mc:Choice>
  </mc:AlternateContent>
  <xr:revisionPtr revIDLastSave="0" documentId="13_ncr:1_{8694295A-DCAC-9541-B7E5-00898C337F8E}" xr6:coauthVersionLast="47" xr6:coauthVersionMax="47" xr10:uidLastSave="{00000000-0000-0000-0000-000000000000}"/>
  <bookViews>
    <workbookView xWindow="30440" yWindow="600" windowWidth="24980" windowHeight="28180" xr2:uid="{00000000-000D-0000-FFFF-FFFF00000000}"/>
  </bookViews>
  <sheets>
    <sheet name="Flujo" sheetId="1" r:id="rId1"/>
    <sheet name="Meses Sin Inter" sheetId="6" r:id="rId2"/>
    <sheet name="Suscripción" sheetId="5" r:id="rId3"/>
    <sheet name="Nomin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2" i="1" l="1"/>
  <c r="H27" i="1"/>
  <c r="G24" i="1"/>
  <c r="G22" i="1"/>
  <c r="G9" i="1"/>
  <c r="G15" i="1"/>
  <c r="F22" i="1"/>
  <c r="F5" i="4"/>
  <c r="N33" i="1"/>
  <c r="C28" i="1"/>
  <c r="C27" i="1"/>
  <c r="B9" i="6"/>
  <c r="I14" i="1"/>
  <c r="J14" i="1"/>
  <c r="K14" i="1"/>
  <c r="L14" i="1"/>
  <c r="L33" i="1" s="1"/>
  <c r="M14" i="1"/>
  <c r="M33" i="1" s="1"/>
  <c r="N14" i="1"/>
  <c r="E25" i="1"/>
  <c r="F25" i="1"/>
  <c r="C12" i="1"/>
  <c r="C33" i="1"/>
  <c r="C25" i="1"/>
  <c r="D25" i="1"/>
  <c r="F23" i="1"/>
  <c r="F11" i="1"/>
  <c r="F12" i="1" s="1"/>
  <c r="E6" i="1"/>
  <c r="N6" i="1" s="1"/>
  <c r="E23" i="1"/>
  <c r="O23" i="1" s="1"/>
  <c r="E22" i="1"/>
  <c r="C22" i="1"/>
  <c r="E9" i="1"/>
  <c r="D12" i="1"/>
  <c r="E12" i="1"/>
  <c r="G12" i="1"/>
  <c r="H12" i="1"/>
  <c r="I12" i="1"/>
  <c r="J12" i="1"/>
  <c r="K12" i="1"/>
  <c r="L12" i="1"/>
  <c r="M12" i="1"/>
  <c r="N12" i="1"/>
  <c r="O9" i="1"/>
  <c r="C17" i="1"/>
  <c r="O40" i="1"/>
  <c r="O39" i="1"/>
  <c r="O29" i="1"/>
  <c r="O26" i="1"/>
  <c r="O25" i="1"/>
  <c r="O24" i="1"/>
  <c r="O21" i="1"/>
  <c r="O20" i="1"/>
  <c r="O19" i="1"/>
  <c r="O18" i="1"/>
  <c r="O17" i="1"/>
  <c r="O16" i="1"/>
  <c r="O15" i="1"/>
  <c r="O11" i="1"/>
  <c r="O10" i="1"/>
  <c r="D30" i="1"/>
  <c r="C5" i="5"/>
  <c r="C84" i="6"/>
  <c r="C67" i="6"/>
  <c r="C50" i="6"/>
  <c r="C33" i="6"/>
  <c r="C20" i="6"/>
  <c r="C30" i="1"/>
  <c r="N6" i="5"/>
  <c r="N4" i="5"/>
  <c r="N7" i="5"/>
  <c r="C14" i="1"/>
  <c r="W84" i="6"/>
  <c r="V84" i="6"/>
  <c r="U84" i="6"/>
  <c r="T84" i="6"/>
  <c r="S84" i="6"/>
  <c r="R84" i="6"/>
  <c r="Q84" i="6"/>
  <c r="P84" i="6"/>
  <c r="O84" i="6"/>
  <c r="N84" i="6"/>
  <c r="M84" i="6"/>
  <c r="L84" i="6"/>
  <c r="K84" i="6"/>
  <c r="J84" i="6"/>
  <c r="I84" i="6"/>
  <c r="H84" i="6"/>
  <c r="G84" i="6"/>
  <c r="F84" i="6"/>
  <c r="E84" i="6"/>
  <c r="D84" i="6"/>
  <c r="B84" i="6"/>
  <c r="W67" i="6"/>
  <c r="V67" i="6"/>
  <c r="U67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G67" i="6"/>
  <c r="F67" i="6"/>
  <c r="E67" i="6"/>
  <c r="D67" i="6"/>
  <c r="B67" i="6"/>
  <c r="W50" i="6"/>
  <c r="V50" i="6"/>
  <c r="U50" i="6"/>
  <c r="T50" i="6"/>
  <c r="S50" i="6"/>
  <c r="R50" i="6"/>
  <c r="Q50" i="6"/>
  <c r="P50" i="6"/>
  <c r="O50" i="6"/>
  <c r="N50" i="6"/>
  <c r="M50" i="6"/>
  <c r="L50" i="6"/>
  <c r="K50" i="6"/>
  <c r="J50" i="6"/>
  <c r="I50" i="6"/>
  <c r="H50" i="6"/>
  <c r="G50" i="6"/>
  <c r="F50" i="6"/>
  <c r="E50" i="6"/>
  <c r="D50" i="6"/>
  <c r="B50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B33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B20" i="6"/>
  <c r="O31" i="1" l="1"/>
  <c r="O22" i="1"/>
  <c r="O12" i="1"/>
  <c r="C5" i="6"/>
  <c r="R5" i="6"/>
  <c r="V5" i="6"/>
  <c r="O30" i="1"/>
  <c r="H5" i="6"/>
  <c r="G28" i="1" s="1"/>
  <c r="T5" i="6"/>
  <c r="U5" i="6"/>
  <c r="O5" i="6"/>
  <c r="N28" i="1" s="1"/>
  <c r="W5" i="6"/>
  <c r="S5" i="6"/>
  <c r="P5" i="6"/>
  <c r="K5" i="6"/>
  <c r="J28" i="1" s="1"/>
  <c r="J33" i="1" s="1"/>
  <c r="J5" i="6"/>
  <c r="I28" i="1" s="1"/>
  <c r="N5" i="6"/>
  <c r="M28" i="1" s="1"/>
  <c r="E5" i="6"/>
  <c r="D28" i="1" s="1"/>
  <c r="D33" i="1" s="1"/>
  <c r="G5" i="6"/>
  <c r="D5" i="6"/>
  <c r="Q5" i="6"/>
  <c r="L5" i="6"/>
  <c r="K28" i="1" s="1"/>
  <c r="K33" i="1" s="1"/>
  <c r="M5" i="6"/>
  <c r="L28" i="1" s="1"/>
  <c r="F5" i="6"/>
  <c r="E28" i="1" s="1"/>
  <c r="E33" i="1" s="1"/>
  <c r="I5" i="6"/>
  <c r="H28" i="1" s="1"/>
  <c r="B5" i="6"/>
  <c r="O28" i="1" l="1"/>
  <c r="N9" i="5" l="1"/>
  <c r="N3" i="5"/>
  <c r="C10" i="5"/>
  <c r="D27" i="1" s="1"/>
  <c r="D10" i="5"/>
  <c r="E27" i="1" s="1"/>
  <c r="E10" i="5"/>
  <c r="F27" i="1" s="1"/>
  <c r="F10" i="5"/>
  <c r="G27" i="1" s="1"/>
  <c r="G10" i="5"/>
  <c r="H10" i="5"/>
  <c r="I27" i="1" s="1"/>
  <c r="I33" i="1" s="1"/>
  <c r="I10" i="5"/>
  <c r="J27" i="1" s="1"/>
  <c r="J10" i="5"/>
  <c r="K27" i="1" s="1"/>
  <c r="K10" i="5"/>
  <c r="L27" i="1" s="1"/>
  <c r="L10" i="5"/>
  <c r="M27" i="1" s="1"/>
  <c r="M10" i="5"/>
  <c r="N27" i="1" s="1"/>
  <c r="B10" i="5"/>
  <c r="B9" i="4"/>
  <c r="C5" i="4"/>
  <c r="D5" i="4"/>
  <c r="E5" i="4"/>
  <c r="G5" i="4"/>
  <c r="H5" i="4"/>
  <c r="I5" i="4"/>
  <c r="J5" i="4"/>
  <c r="K5" i="4"/>
  <c r="L5" i="4"/>
  <c r="M5" i="4"/>
  <c r="C8" i="4"/>
  <c r="D8" i="4"/>
  <c r="E8" i="4"/>
  <c r="F8" i="4"/>
  <c r="G8" i="4"/>
  <c r="H8" i="4"/>
  <c r="I8" i="4"/>
  <c r="J8" i="4"/>
  <c r="K8" i="4"/>
  <c r="L8" i="4"/>
  <c r="M8" i="4"/>
  <c r="B8" i="4"/>
  <c r="B5" i="4"/>
  <c r="D34" i="1"/>
  <c r="E34" i="1"/>
  <c r="F34" i="1"/>
  <c r="G34" i="1"/>
  <c r="H34" i="1"/>
  <c r="I34" i="1"/>
  <c r="J34" i="1"/>
  <c r="K34" i="1"/>
  <c r="L34" i="1"/>
  <c r="M34" i="1"/>
  <c r="N34" i="1"/>
  <c r="O34" i="1"/>
  <c r="C34" i="1"/>
  <c r="O27" i="1" l="1"/>
  <c r="M9" i="4"/>
  <c r="L9" i="4"/>
  <c r="K9" i="4"/>
  <c r="J9" i="4"/>
  <c r="I9" i="4"/>
  <c r="H9" i="4"/>
  <c r="G9" i="4"/>
  <c r="H14" i="1" s="1"/>
  <c r="H33" i="1" s="1"/>
  <c r="F9" i="4"/>
  <c r="G14" i="1" s="1"/>
  <c r="G33" i="1" s="1"/>
  <c r="E9" i="4"/>
  <c r="F14" i="1" s="1"/>
  <c r="F33" i="1" s="1"/>
  <c r="D9" i="4"/>
  <c r="E14" i="1" s="1"/>
  <c r="N6" i="4"/>
  <c r="C9" i="4"/>
  <c r="D14" i="1" s="1"/>
  <c r="N3" i="4"/>
  <c r="N10" i="5"/>
  <c r="D35" i="1" l="1"/>
  <c r="D36" i="1" s="1"/>
  <c r="O14" i="1"/>
  <c r="O33" i="1" s="1"/>
  <c r="N9" i="4"/>
  <c r="O35" i="1" l="1"/>
  <c r="O36" i="1" s="1"/>
  <c r="N35" i="1" l="1"/>
  <c r="N36" i="1" s="1"/>
  <c r="M35" i="1"/>
  <c r="M36" i="1" s="1"/>
  <c r="L35" i="1"/>
  <c r="L36" i="1" s="1"/>
  <c r="K35" i="1"/>
  <c r="K36" i="1" s="1"/>
  <c r="J35" i="1"/>
  <c r="J36" i="1" s="1"/>
  <c r="I35" i="1"/>
  <c r="I36" i="1" s="1"/>
  <c r="H35" i="1"/>
  <c r="H36" i="1" s="1"/>
  <c r="G35" i="1"/>
  <c r="G36" i="1" s="1"/>
  <c r="F35" i="1" l="1"/>
  <c r="F36" i="1" s="1"/>
  <c r="E35" i="1"/>
  <c r="E36" i="1" s="1"/>
  <c r="C35" i="1"/>
  <c r="C36" i="1" s="1"/>
</calcChain>
</file>

<file path=xl/sharedStrings.xml><?xml version="1.0" encoding="utf-8"?>
<sst xmlns="http://schemas.openxmlformats.org/spreadsheetml/2006/main" count="63" uniqueCount="57">
  <si>
    <t>Flujo de efectivo vs. presupuesto</t>
  </si>
  <si>
    <t>Concepto/mes</t>
  </si>
  <si>
    <t>Total</t>
  </si>
  <si>
    <t>Total ingresos</t>
  </si>
  <si>
    <t>Nomina</t>
  </si>
  <si>
    <t>Renta</t>
  </si>
  <si>
    <t>Impuestos federales</t>
  </si>
  <si>
    <t>Mantenimiento</t>
  </si>
  <si>
    <t>Total gastos</t>
  </si>
  <si>
    <t>Saldo inicial caja y bancos</t>
  </si>
  <si>
    <t xml:space="preserve">Papelería y mobiliario </t>
  </si>
  <si>
    <t>Aguinaldo</t>
  </si>
  <si>
    <t xml:space="preserve">Comisiones </t>
  </si>
  <si>
    <t>ALIANZA CDI</t>
  </si>
  <si>
    <t>ALIANZA ALEGRO MONTESSORI</t>
  </si>
  <si>
    <t>Centro Escolar LOMAS YOUNG ENGINEERS</t>
  </si>
  <si>
    <t>Ciclo escolar 2025-2026</t>
  </si>
  <si>
    <t>BANCOS</t>
  </si>
  <si>
    <t>BBVA</t>
  </si>
  <si>
    <t>BANORTE</t>
  </si>
  <si>
    <t>DOLARAPP</t>
  </si>
  <si>
    <t>TOTAL</t>
  </si>
  <si>
    <t>NOMINA</t>
  </si>
  <si>
    <t>CHANTAL</t>
  </si>
  <si>
    <t xml:space="preserve">JENNY </t>
  </si>
  <si>
    <t>GASTOS</t>
  </si>
  <si>
    <t>INGRESOS</t>
  </si>
  <si>
    <t>GRAN TOTAL</t>
  </si>
  <si>
    <t xml:space="preserve">Fee Young Engineers </t>
  </si>
  <si>
    <t>Suscripciones</t>
  </si>
  <si>
    <t>Tota</t>
  </si>
  <si>
    <t>Apple</t>
  </si>
  <si>
    <t>Suscripción</t>
  </si>
  <si>
    <t>Meses Sin Intereses</t>
  </si>
  <si>
    <t>NO TOCAR</t>
  </si>
  <si>
    <t>BANCO</t>
  </si>
  <si>
    <t>Monto Original</t>
  </si>
  <si>
    <t>MacStore</t>
  </si>
  <si>
    <t>Amex</t>
  </si>
  <si>
    <t>Curso MKT</t>
  </si>
  <si>
    <t>Contadores BHC</t>
  </si>
  <si>
    <t>Gastos en Gral</t>
  </si>
  <si>
    <t>Apple Music</t>
  </si>
  <si>
    <t>Google Suite</t>
  </si>
  <si>
    <t>Total Ingresos</t>
  </si>
  <si>
    <t>Total Gastos</t>
  </si>
  <si>
    <t>Diferencia</t>
  </si>
  <si>
    <t>MP</t>
  </si>
  <si>
    <t>Saldo Inicial en caja y bancos</t>
  </si>
  <si>
    <t>Saldo Final en caja y bancos</t>
  </si>
  <si>
    <t>IMSS</t>
  </si>
  <si>
    <t>Gob DF</t>
  </si>
  <si>
    <t>Aportaciones de Socios</t>
  </si>
  <si>
    <t>SEO SIMPLE</t>
  </si>
  <si>
    <t>Comisiones P.Moral Banortey BBVA</t>
  </si>
  <si>
    <t>Meses Diferidos</t>
  </si>
  <si>
    <t>Pagos Dif 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</si>
</sst>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#,##0.00;[Red]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7FA9D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117">
    <xf numFmtId="0" fontId="0" fillId="0" borderId="0" xfId="0"/>
    <xf numFmtId="43" fontId="0" fillId="0" borderId="0" xfId="1" applyFont="1" applyFill="1" applyBorder="1"/>
    <xf numFmtId="0" fontId="2" fillId="0" borderId="0" xfId="0" applyFont="1"/>
    <xf numFmtId="0" fontId="2" fillId="6" borderId="14" xfId="0" applyFont="1" applyFill="1" applyBorder="1"/>
    <xf numFmtId="17" fontId="2" fillId="6" borderId="14" xfId="0" applyNumberFormat="1" applyFont="1" applyFill="1" applyBorder="1"/>
    <xf numFmtId="0" fontId="2" fillId="6" borderId="14" xfId="0" applyFont="1" applyFill="1" applyBorder="1" applyAlignment="1">
      <alignment horizontal="center"/>
    </xf>
    <xf numFmtId="0" fontId="2" fillId="0" borderId="14" xfId="0" applyFont="1" applyBorder="1"/>
    <xf numFmtId="0" fontId="5" fillId="7" borderId="14" xfId="0" applyFont="1" applyFill="1" applyBorder="1"/>
    <xf numFmtId="43" fontId="5" fillId="7" borderId="14" xfId="1" applyFont="1" applyFill="1" applyBorder="1"/>
    <xf numFmtId="17" fontId="2" fillId="6" borderId="11" xfId="0" applyNumberFormat="1" applyFont="1" applyFill="1" applyBorder="1"/>
    <xf numFmtId="43" fontId="0" fillId="9" borderId="9" xfId="1" applyFont="1" applyFill="1" applyBorder="1"/>
    <xf numFmtId="43" fontId="0" fillId="4" borderId="14" xfId="1" applyFont="1" applyFill="1" applyBorder="1"/>
    <xf numFmtId="0" fontId="6" fillId="10" borderId="14" xfId="0" applyFont="1" applyFill="1" applyBorder="1"/>
    <xf numFmtId="43" fontId="6" fillId="10" borderId="14" xfId="0" applyNumberFormat="1" applyFont="1" applyFill="1" applyBorder="1"/>
    <xf numFmtId="43" fontId="0" fillId="4" borderId="8" xfId="1" applyFont="1" applyFill="1" applyBorder="1"/>
    <xf numFmtId="43" fontId="0" fillId="0" borderId="12" xfId="1" applyFont="1" applyBorder="1"/>
    <xf numFmtId="43" fontId="0" fillId="4" borderId="12" xfId="1" applyFont="1" applyFill="1" applyBorder="1"/>
    <xf numFmtId="43" fontId="2" fillId="0" borderId="14" xfId="1" applyFont="1" applyBorder="1" applyAlignment="1"/>
    <xf numFmtId="43" fontId="0" fillId="0" borderId="11" xfId="1" applyFont="1" applyFill="1" applyBorder="1"/>
    <xf numFmtId="43" fontId="0" fillId="0" borderId="12" xfId="1" applyFont="1" applyFill="1" applyBorder="1"/>
    <xf numFmtId="43" fontId="0" fillId="0" borderId="17" xfId="1" applyFont="1" applyBorder="1"/>
    <xf numFmtId="43" fontId="2" fillId="2" borderId="14" xfId="1" applyFont="1" applyFill="1" applyBorder="1"/>
    <xf numFmtId="43" fontId="2" fillId="3" borderId="14" xfId="1" applyFont="1" applyFill="1" applyBorder="1"/>
    <xf numFmtId="0" fontId="0" fillId="9" borderId="14" xfId="0" applyFill="1" applyBorder="1" applyAlignment="1">
      <alignment vertical="center"/>
    </xf>
    <xf numFmtId="43" fontId="0" fillId="9" borderId="14" xfId="1" applyFont="1" applyFill="1" applyBorder="1" applyAlignment="1">
      <alignment vertical="center"/>
    </xf>
    <xf numFmtId="43" fontId="0" fillId="0" borderId="14" xfId="1" applyFont="1" applyFill="1" applyBorder="1"/>
    <xf numFmtId="0" fontId="1" fillId="0" borderId="0" xfId="0" applyFont="1"/>
    <xf numFmtId="165" fontId="1" fillId="0" borderId="0" xfId="1" applyNumberFormat="1" applyFont="1"/>
    <xf numFmtId="0" fontId="8" fillId="10" borderId="14" xfId="0" applyFont="1" applyFill="1" applyBorder="1" applyAlignment="1">
      <alignment horizontal="center"/>
    </xf>
    <xf numFmtId="165" fontId="1" fillId="11" borderId="18" xfId="0" applyNumberFormat="1" applyFont="1" applyFill="1" applyBorder="1"/>
    <xf numFmtId="165" fontId="1" fillId="11" borderId="19" xfId="0" applyNumberFormat="1" applyFont="1" applyFill="1" applyBorder="1"/>
    <xf numFmtId="0" fontId="1" fillId="12" borderId="20" xfId="0" applyFont="1" applyFill="1" applyBorder="1"/>
    <xf numFmtId="0" fontId="1" fillId="4" borderId="21" xfId="0" applyFont="1" applyFill="1" applyBorder="1"/>
    <xf numFmtId="17" fontId="1" fillId="3" borderId="21" xfId="0" applyNumberFormat="1" applyFont="1" applyFill="1" applyBorder="1"/>
    <xf numFmtId="0" fontId="1" fillId="0" borderId="13" xfId="0" applyFont="1" applyBorder="1"/>
    <xf numFmtId="165" fontId="1" fillId="0" borderId="13" xfId="1" applyNumberFormat="1" applyFont="1" applyBorder="1"/>
    <xf numFmtId="165" fontId="1" fillId="6" borderId="0" xfId="1" applyNumberFormat="1" applyFont="1" applyFill="1"/>
    <xf numFmtId="0" fontId="1" fillId="13" borderId="0" xfId="0" applyFont="1" applyFill="1"/>
    <xf numFmtId="0" fontId="1" fillId="12" borderId="21" xfId="0" applyFont="1" applyFill="1" applyBorder="1"/>
    <xf numFmtId="165" fontId="1" fillId="0" borderId="0" xfId="1" applyNumberFormat="1" applyFont="1" applyBorder="1"/>
    <xf numFmtId="0" fontId="1" fillId="14" borderId="13" xfId="0" applyFont="1" applyFill="1" applyBorder="1"/>
    <xf numFmtId="0" fontId="1" fillId="14" borderId="0" xfId="0" applyFont="1" applyFill="1"/>
    <xf numFmtId="165" fontId="1" fillId="0" borderId="0" xfId="1" applyNumberFormat="1" applyFont="1" applyFill="1"/>
    <xf numFmtId="165" fontId="1" fillId="0" borderId="0" xfId="1" applyNumberFormat="1" applyFont="1" applyFill="1" applyBorder="1"/>
    <xf numFmtId="165" fontId="1" fillId="0" borderId="13" xfId="1" applyNumberFormat="1" applyFont="1" applyFill="1" applyBorder="1"/>
    <xf numFmtId="165" fontId="0" fillId="0" borderId="0" xfId="1" applyNumberFormat="1" applyFont="1"/>
    <xf numFmtId="165" fontId="0" fillId="0" borderId="0" xfId="1" applyNumberFormat="1" applyFont="1" applyBorder="1"/>
    <xf numFmtId="43" fontId="0" fillId="15" borderId="12" xfId="1" applyFont="1" applyFill="1" applyBorder="1"/>
    <xf numFmtId="0" fontId="0" fillId="0" borderId="15" xfId="0" applyBorder="1"/>
    <xf numFmtId="165" fontId="0" fillId="15" borderId="4" xfId="1" applyNumberFormat="1" applyFont="1" applyFill="1" applyBorder="1"/>
    <xf numFmtId="165" fontId="0" fillId="15" borderId="0" xfId="1" applyNumberFormat="1" applyFont="1" applyFill="1" applyBorder="1"/>
    <xf numFmtId="43" fontId="2" fillId="9" borderId="17" xfId="1" applyFont="1" applyFill="1" applyBorder="1"/>
    <xf numFmtId="43" fontId="2" fillId="6" borderId="17" xfId="1" applyFont="1" applyFill="1" applyBorder="1"/>
    <xf numFmtId="165" fontId="2" fillId="9" borderId="10" xfId="1" applyNumberFormat="1" applyFont="1" applyFill="1" applyBorder="1"/>
    <xf numFmtId="165" fontId="2" fillId="6" borderId="10" xfId="1" applyNumberFormat="1" applyFont="1" applyFill="1" applyBorder="1"/>
    <xf numFmtId="165" fontId="2" fillId="3" borderId="16" xfId="1" applyNumberFormat="1" applyFont="1" applyFill="1" applyBorder="1"/>
    <xf numFmtId="165" fontId="2" fillId="2" borderId="16" xfId="1" applyNumberFormat="1" applyFont="1" applyFill="1" applyBorder="1"/>
    <xf numFmtId="165" fontId="0" fillId="0" borderId="12" xfId="1" applyNumberFormat="1" applyFont="1" applyBorder="1"/>
    <xf numFmtId="165" fontId="0" fillId="0" borderId="11" xfId="1" applyNumberFormat="1" applyFont="1" applyBorder="1"/>
    <xf numFmtId="165" fontId="2" fillId="2" borderId="14" xfId="1" applyNumberFormat="1" applyFont="1" applyFill="1" applyBorder="1"/>
    <xf numFmtId="165" fontId="0" fillId="15" borderId="1" xfId="1" applyNumberFormat="1" applyFont="1" applyFill="1" applyBorder="1"/>
    <xf numFmtId="165" fontId="0" fillId="15" borderId="2" xfId="1" applyNumberFormat="1" applyFont="1" applyFill="1" applyBorder="1"/>
    <xf numFmtId="165" fontId="0" fillId="15" borderId="11" xfId="1" applyNumberFormat="1" applyFont="1" applyFill="1" applyBorder="1"/>
    <xf numFmtId="165" fontId="0" fillId="15" borderId="12" xfId="1" applyNumberFormat="1" applyFont="1" applyFill="1" applyBorder="1"/>
    <xf numFmtId="165" fontId="0" fillId="15" borderId="17" xfId="1" applyNumberFormat="1" applyFont="1" applyFill="1" applyBorder="1"/>
    <xf numFmtId="165" fontId="2" fillId="9" borderId="14" xfId="1" applyNumberFormat="1" applyFont="1" applyFill="1" applyBorder="1"/>
    <xf numFmtId="165" fontId="2" fillId="9" borderId="17" xfId="1" applyNumberFormat="1" applyFont="1" applyFill="1" applyBorder="1"/>
    <xf numFmtId="165" fontId="2" fillId="6" borderId="17" xfId="1" applyNumberFormat="1" applyFont="1" applyFill="1" applyBorder="1"/>
    <xf numFmtId="165" fontId="2" fillId="2" borderId="17" xfId="1" applyNumberFormat="1" applyFont="1" applyFill="1" applyBorder="1"/>
    <xf numFmtId="165" fontId="2" fillId="3" borderId="14" xfId="1" applyNumberFormat="1" applyFont="1" applyFill="1" applyBorder="1"/>
    <xf numFmtId="0" fontId="5" fillId="7" borderId="17" xfId="0" applyFont="1" applyFill="1" applyBorder="1"/>
    <xf numFmtId="164" fontId="5" fillId="7" borderId="17" xfId="1" applyNumberFormat="1" applyFont="1" applyFill="1" applyBorder="1"/>
    <xf numFmtId="164" fontId="3" fillId="8" borderId="17" xfId="1" applyNumberFormat="1" applyFont="1" applyFill="1" applyBorder="1" applyAlignment="1">
      <alignment horizontal="center"/>
    </xf>
    <xf numFmtId="17" fontId="3" fillId="8" borderId="17" xfId="0" applyNumberFormat="1" applyFont="1" applyFill="1" applyBorder="1" applyAlignment="1">
      <alignment horizontal="center"/>
    </xf>
    <xf numFmtId="43" fontId="3" fillId="8" borderId="14" xfId="1" applyFont="1" applyFill="1" applyBorder="1" applyAlignment="1">
      <alignment horizontal="center"/>
    </xf>
    <xf numFmtId="165" fontId="0" fillId="0" borderId="0" xfId="0" applyNumberFormat="1"/>
    <xf numFmtId="165" fontId="1" fillId="6" borderId="13" xfId="1" applyNumberFormat="1" applyFont="1" applyFill="1" applyBorder="1"/>
    <xf numFmtId="165" fontId="0" fillId="0" borderId="16" xfId="1" applyNumberFormat="1" applyFont="1" applyBorder="1"/>
    <xf numFmtId="165" fontId="0" fillId="0" borderId="14" xfId="1" applyNumberFormat="1" applyFont="1" applyBorder="1"/>
    <xf numFmtId="165" fontId="0" fillId="0" borderId="15" xfId="1" applyNumberFormat="1" applyFont="1" applyBorder="1"/>
    <xf numFmtId="165" fontId="0" fillId="15" borderId="5" xfId="1" applyNumberFormat="1" applyFont="1" applyFill="1" applyBorder="1"/>
    <xf numFmtId="165" fontId="2" fillId="2" borderId="8" xfId="1" applyNumberFormat="1" applyFont="1" applyFill="1" applyBorder="1"/>
    <xf numFmtId="0" fontId="0" fillId="0" borderId="4" xfId="0" applyBorder="1"/>
    <xf numFmtId="0" fontId="3" fillId="16" borderId="8" xfId="0" applyFont="1" applyFill="1" applyBorder="1" applyAlignment="1">
      <alignment horizontal="center"/>
    </xf>
    <xf numFmtId="0" fontId="3" fillId="16" borderId="16" xfId="0" applyFont="1" applyFill="1" applyBorder="1" applyAlignment="1">
      <alignment horizontal="center"/>
    </xf>
    <xf numFmtId="0" fontId="3" fillId="16" borderId="9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43" fontId="2" fillId="5" borderId="8" xfId="1" applyFont="1" applyFill="1" applyBorder="1" applyAlignment="1">
      <alignment horizontal="center"/>
    </xf>
    <xf numFmtId="43" fontId="2" fillId="5" borderId="16" xfId="1" applyFont="1" applyFill="1" applyBorder="1" applyAlignment="1">
      <alignment horizontal="center"/>
    </xf>
    <xf numFmtId="0" fontId="0" fillId="15" borderId="11" xfId="0" applyFill="1" applyBorder="1" applyAlignment="1">
      <alignment horizontal="center" vertical="center" wrapText="1"/>
    </xf>
    <xf numFmtId="0" fontId="0" fillId="15" borderId="12" xfId="0" applyFill="1" applyBorder="1" applyAlignment="1">
      <alignment horizontal="center" vertical="center" wrapText="1"/>
    </xf>
    <xf numFmtId="0" fontId="0" fillId="15" borderId="17" xfId="0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7" fillId="11" borderId="0" xfId="0" applyFont="1" applyFill="1" applyAlignment="1">
      <alignment horizontal="center" vertical="center" wrapText="1"/>
    </xf>
    <xf numFmtId="0" fontId="7" fillId="11" borderId="6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0" fillId="9" borderId="11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43" fontId="0" fillId="9" borderId="11" xfId="1" applyFont="1" applyFill="1" applyBorder="1" applyAlignment="1">
      <alignment horizontal="center" vertical="center"/>
    </xf>
    <xf numFmtId="43" fontId="0" fillId="9" borderId="12" xfId="1" applyFont="1" applyFill="1" applyBorder="1" applyAlignment="1">
      <alignment horizontal="center" vertical="center"/>
    </xf>
    <xf numFmtId="43" fontId="0" fillId="9" borderId="17" xfId="1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 wrapText="1"/>
    </xf>
    <xf numFmtId="43" fontId="0" fillId="4" borderId="11" xfId="1" applyFont="1" applyFill="1" applyBorder="1" applyAlignment="1">
      <alignment horizontal="center" vertical="center" wrapText="1"/>
    </xf>
    <xf numFmtId="43" fontId="0" fillId="4" borderId="12" xfId="1" applyFont="1" applyFill="1" applyBorder="1" applyAlignment="1">
      <alignment horizontal="center" vertical="center" wrapText="1"/>
    </xf>
    <xf numFmtId="43" fontId="0" fillId="4" borderId="17" xfId="1" applyFont="1" applyFill="1" applyBorder="1" applyAlignment="1">
      <alignment horizontal="center" vertical="center" wrapText="1"/>
    </xf>
  </cellXfs>
  <cellStyles count="3">
    <cellStyle name="Millares" xfId="1" builtinId="3"/>
    <cellStyle name="Normal" xfId="0" builtinId="0"/>
    <cellStyle name="Normal 2" xfId="2" xr:uid="{5641F292-D3B4-4C7A-92AE-F8F7EE7E78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FB41"/>
  <sheetViews>
    <sheetView tabSelected="1" topLeftCell="B1" zoomScaleNormal="100" workbookViewId="0">
      <pane ySplit="7" topLeftCell="A8" activePane="bottomLeft" state="frozen"/>
      <selection pane="bottomLeft" activeCell="H26" sqref="H26"/>
    </sheetView>
  </sheetViews>
  <sheetFormatPr baseColWidth="10" defaultRowHeight="15" x14ac:dyDescent="0.2"/>
  <cols>
    <col min="1" max="1" width="3.6640625" customWidth="1"/>
    <col min="2" max="2" width="29.1640625" bestFit="1" customWidth="1"/>
    <col min="3" max="3" width="10.1640625" bestFit="1" customWidth="1"/>
    <col min="4" max="4" width="9.1640625" bestFit="1" customWidth="1"/>
    <col min="5" max="5" width="10.6640625" bestFit="1" customWidth="1"/>
    <col min="6" max="8" width="9.1640625" bestFit="1" customWidth="1"/>
    <col min="9" max="12" width="8.1640625" bestFit="1" customWidth="1"/>
    <col min="13" max="13" width="6.6640625" bestFit="1" customWidth="1"/>
    <col min="14" max="15" width="10.1640625" bestFit="1" customWidth="1"/>
    <col min="16" max="16" width="5.33203125" bestFit="1" customWidth="1"/>
  </cols>
  <sheetData>
    <row r="1" spans="2:15 16382:16382" ht="16" thickBot="1" x14ac:dyDescent="0.25"/>
    <row r="2" spans="2:15 16382:16382" ht="16" thickBot="1" x14ac:dyDescent="0.25">
      <c r="B2" s="83" t="s">
        <v>15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5"/>
    </row>
    <row r="3" spans="2:15 16382:16382" ht="16" thickBot="1" x14ac:dyDescent="0.25">
      <c r="B3" s="83" t="s">
        <v>0</v>
      </c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5"/>
    </row>
    <row r="4" spans="2:15 16382:16382" ht="16" thickBot="1" x14ac:dyDescent="0.25">
      <c r="B4" s="83" t="s">
        <v>16</v>
      </c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5"/>
    </row>
    <row r="5" spans="2:15 16382:16382" ht="16" thickBot="1" x14ac:dyDescent="0.25">
      <c r="B5" s="70" t="s">
        <v>17</v>
      </c>
      <c r="C5" s="71" t="s">
        <v>19</v>
      </c>
      <c r="D5" s="71" t="s">
        <v>18</v>
      </c>
      <c r="E5" s="71" t="s">
        <v>20</v>
      </c>
      <c r="F5" s="71" t="s">
        <v>47</v>
      </c>
      <c r="G5" s="71"/>
      <c r="H5" s="71"/>
      <c r="I5" s="71"/>
      <c r="J5" s="71"/>
      <c r="K5" s="71"/>
      <c r="L5" s="71"/>
      <c r="M5" s="71"/>
      <c r="N5" s="72" t="s">
        <v>21</v>
      </c>
      <c r="O5" s="73">
        <v>45870</v>
      </c>
      <c r="XFB5" s="2"/>
    </row>
    <row r="6" spans="2:15 16382:16382" ht="16" thickBot="1" x14ac:dyDescent="0.25">
      <c r="B6" s="7" t="s">
        <v>9</v>
      </c>
      <c r="C6" s="8">
        <v>10177.69</v>
      </c>
      <c r="D6" s="8">
        <v>4663.8999999999996</v>
      </c>
      <c r="E6" s="8">
        <f>41.77*18.5</f>
        <v>772.745</v>
      </c>
      <c r="F6" s="8">
        <v>172.08</v>
      </c>
      <c r="G6" s="8"/>
      <c r="H6" s="8"/>
      <c r="I6" s="8"/>
      <c r="J6" s="8"/>
      <c r="K6" s="8"/>
      <c r="L6" s="8"/>
      <c r="M6" s="8"/>
      <c r="N6" s="74">
        <f>SUM(C6:M6)</f>
        <v>15786.415000000001</v>
      </c>
      <c r="O6" s="73"/>
    </row>
    <row r="7" spans="2:15 16382:16382" ht="16" thickBot="1" x14ac:dyDescent="0.25">
      <c r="B7" s="3" t="s">
        <v>1</v>
      </c>
      <c r="C7" s="4">
        <v>45870</v>
      </c>
      <c r="D7" s="4">
        <v>45901</v>
      </c>
      <c r="E7" s="4">
        <v>45931</v>
      </c>
      <c r="F7" s="4">
        <v>45962</v>
      </c>
      <c r="G7" s="4">
        <v>45992</v>
      </c>
      <c r="H7" s="4">
        <v>46023</v>
      </c>
      <c r="I7" s="4">
        <v>46054</v>
      </c>
      <c r="J7" s="4">
        <v>46082</v>
      </c>
      <c r="K7" s="4">
        <v>46113</v>
      </c>
      <c r="L7" s="4">
        <v>46143</v>
      </c>
      <c r="M7" s="4">
        <v>46174</v>
      </c>
      <c r="N7" s="4">
        <v>46204</v>
      </c>
      <c r="O7" s="5" t="s">
        <v>2</v>
      </c>
    </row>
    <row r="8" spans="2:15 16382:16382" ht="16" thickBot="1" x14ac:dyDescent="0.25">
      <c r="B8" s="86" t="s">
        <v>26</v>
      </c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6"/>
    </row>
    <row r="9" spans="2:15 16382:16382" ht="16" thickBot="1" x14ac:dyDescent="0.25">
      <c r="B9" s="11" t="s">
        <v>52</v>
      </c>
      <c r="C9" s="77">
        <v>20847.509999999998</v>
      </c>
      <c r="D9" s="77">
        <v>0</v>
      </c>
      <c r="E9" s="77">
        <f>2215.99+1624.58</f>
        <v>3840.5699999999997</v>
      </c>
      <c r="F9" s="77">
        <v>0</v>
      </c>
      <c r="G9" s="77">
        <f>12736.64+7434.62+40911.6</f>
        <v>61082.86</v>
      </c>
      <c r="H9" s="77">
        <v>0</v>
      </c>
      <c r="I9" s="77">
        <v>0</v>
      </c>
      <c r="J9" s="77">
        <v>0</v>
      </c>
      <c r="K9" s="77">
        <v>0</v>
      </c>
      <c r="L9" s="77">
        <v>0</v>
      </c>
      <c r="M9" s="77">
        <v>0</v>
      </c>
      <c r="N9" s="77">
        <v>0</v>
      </c>
      <c r="O9" s="78">
        <f>SUM(C9:N9)</f>
        <v>85770.94</v>
      </c>
    </row>
    <row r="10" spans="2:15 16382:16382" ht="16" thickBot="1" x14ac:dyDescent="0.25">
      <c r="B10" s="11" t="s">
        <v>13</v>
      </c>
      <c r="C10" s="77">
        <v>38413.07</v>
      </c>
      <c r="D10" s="77">
        <v>23200</v>
      </c>
      <c r="E10" s="77">
        <v>37819.99</v>
      </c>
      <c r="F10" s="77">
        <v>32713.16</v>
      </c>
      <c r="G10" s="77">
        <v>0</v>
      </c>
      <c r="H10" s="77">
        <v>17998.560000000001</v>
      </c>
      <c r="I10" s="77">
        <v>0</v>
      </c>
      <c r="J10" s="77">
        <v>0</v>
      </c>
      <c r="K10" s="77">
        <v>0</v>
      </c>
      <c r="L10" s="77">
        <v>0</v>
      </c>
      <c r="M10" s="77">
        <v>0</v>
      </c>
      <c r="N10" s="77">
        <v>0</v>
      </c>
      <c r="O10" s="78">
        <f>SUM(C10:N10)</f>
        <v>150144.78</v>
      </c>
    </row>
    <row r="11" spans="2:15 16382:16382" ht="16" thickBot="1" x14ac:dyDescent="0.25">
      <c r="B11" s="16" t="s">
        <v>14</v>
      </c>
      <c r="C11" s="45">
        <v>0</v>
      </c>
      <c r="D11" s="45">
        <v>0</v>
      </c>
      <c r="E11" s="45">
        <v>1481</v>
      </c>
      <c r="F11" s="45">
        <f>417.6</f>
        <v>417.6</v>
      </c>
      <c r="G11" s="45">
        <v>1670.4</v>
      </c>
      <c r="H11" s="45">
        <v>835.2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57">
        <f>SUM(C11:N11)</f>
        <v>4404.2</v>
      </c>
    </row>
    <row r="12" spans="2:15 16382:16382" ht="16" thickBot="1" x14ac:dyDescent="0.25">
      <c r="B12" s="21" t="s">
        <v>3</v>
      </c>
      <c r="C12" s="56">
        <f>SUM(C9:C11)</f>
        <v>59260.58</v>
      </c>
      <c r="D12" s="56">
        <f t="shared" ref="D12:N12" si="0">SUM(D9:D11)</f>
        <v>23200</v>
      </c>
      <c r="E12" s="56">
        <f t="shared" si="0"/>
        <v>43141.56</v>
      </c>
      <c r="F12" s="56">
        <f t="shared" si="0"/>
        <v>33130.76</v>
      </c>
      <c r="G12" s="56">
        <f t="shared" si="0"/>
        <v>62753.26</v>
      </c>
      <c r="H12" s="56">
        <f t="shared" si="0"/>
        <v>18833.760000000002</v>
      </c>
      <c r="I12" s="56">
        <f t="shared" si="0"/>
        <v>0</v>
      </c>
      <c r="J12" s="56">
        <f t="shared" si="0"/>
        <v>0</v>
      </c>
      <c r="K12" s="56">
        <f t="shared" si="0"/>
        <v>0</v>
      </c>
      <c r="L12" s="56">
        <f t="shared" si="0"/>
        <v>0</v>
      </c>
      <c r="M12" s="56">
        <f t="shared" si="0"/>
        <v>0</v>
      </c>
      <c r="N12" s="56">
        <f t="shared" si="0"/>
        <v>0</v>
      </c>
      <c r="O12" s="59">
        <f>SUM(O9:O11)</f>
        <v>240319.92</v>
      </c>
    </row>
    <row r="13" spans="2:15 16382:16382" ht="16" thickBot="1" x14ac:dyDescent="0.25">
      <c r="B13" s="88" t="s">
        <v>25</v>
      </c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17"/>
    </row>
    <row r="14" spans="2:15 16382:16382" x14ac:dyDescent="0.2">
      <c r="B14" s="18" t="s">
        <v>4</v>
      </c>
      <c r="C14" s="45">
        <f>Nomina!B9*-1</f>
        <v>-3625</v>
      </c>
      <c r="D14" s="45">
        <f>Nomina!C9*-1</f>
        <v>-15250.13</v>
      </c>
      <c r="E14" s="45">
        <f>Nomina!D9*-1</f>
        <v>-13832.46</v>
      </c>
      <c r="F14" s="45">
        <f>Nomina!E9*-1</f>
        <v>-13129.69</v>
      </c>
      <c r="G14" s="45">
        <f>Nomina!F9*-1</f>
        <v>-12830.900000000001</v>
      </c>
      <c r="H14" s="45">
        <f>Nomina!G9*-1</f>
        <v>-10581.38</v>
      </c>
      <c r="I14" s="45">
        <f>Nomina!H9*-1</f>
        <v>0</v>
      </c>
      <c r="J14" s="45">
        <f>Nomina!I9*-1</f>
        <v>0</v>
      </c>
      <c r="K14" s="45">
        <f>Nomina!J9*-1</f>
        <v>0</v>
      </c>
      <c r="L14" s="45">
        <f>Nomina!K9*-1</f>
        <v>0</v>
      </c>
      <c r="M14" s="45">
        <f>Nomina!L9*-1</f>
        <v>0</v>
      </c>
      <c r="N14" s="45">
        <f>Nomina!M9*-1</f>
        <v>0</v>
      </c>
      <c r="O14" s="58">
        <f>SUM(C14:N14)</f>
        <v>-69249.56</v>
      </c>
    </row>
    <row r="15" spans="2:15 16382:16382" x14ac:dyDescent="0.2">
      <c r="B15" s="19" t="s">
        <v>11</v>
      </c>
      <c r="C15" s="45">
        <v>0</v>
      </c>
      <c r="D15" s="45">
        <v>0</v>
      </c>
      <c r="E15" s="45">
        <v>0</v>
      </c>
      <c r="F15" s="45">
        <v>0</v>
      </c>
      <c r="G15" s="45">
        <f>-4423.2-1650</f>
        <v>-6073.2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57">
        <f>SUM(C15:N15)</f>
        <v>-6073.2</v>
      </c>
    </row>
    <row r="16" spans="2:15 16382:16382" x14ac:dyDescent="0.2">
      <c r="B16" s="19"/>
      <c r="C16" s="45">
        <v>0</v>
      </c>
      <c r="D16" s="45">
        <v>0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57">
        <f>SUM(C16:N16)</f>
        <v>0</v>
      </c>
    </row>
    <row r="17" spans="2:17" x14ac:dyDescent="0.2">
      <c r="B17" s="19" t="s">
        <v>6</v>
      </c>
      <c r="C17" s="45">
        <f>-702-50</f>
        <v>-752</v>
      </c>
      <c r="D17" s="45">
        <v>0</v>
      </c>
      <c r="E17" s="45">
        <v>-1287</v>
      </c>
      <c r="F17" s="45">
        <v>-1118</v>
      </c>
      <c r="G17" s="45">
        <v>-1195</v>
      </c>
      <c r="H17" s="45">
        <v>-1043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57">
        <f>SUM(C17:N17)</f>
        <v>-5395</v>
      </c>
    </row>
    <row r="18" spans="2:17" x14ac:dyDescent="0.2">
      <c r="B18" s="19" t="s">
        <v>53</v>
      </c>
      <c r="C18" s="45">
        <v>0</v>
      </c>
      <c r="D18" s="45">
        <v>0</v>
      </c>
      <c r="E18" s="45">
        <v>-8120</v>
      </c>
      <c r="F18" s="45">
        <v>-8120</v>
      </c>
      <c r="G18" s="45">
        <v>-6960</v>
      </c>
      <c r="H18" s="45">
        <v>-6960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57">
        <f t="shared" ref="O18:O31" si="1">SUM(C18:N18)</f>
        <v>-30160</v>
      </c>
    </row>
    <row r="19" spans="2:17" x14ac:dyDescent="0.2">
      <c r="B19" s="19" t="s">
        <v>51</v>
      </c>
      <c r="C19" s="45">
        <v>-182</v>
      </c>
      <c r="D19" s="45">
        <v>0</v>
      </c>
      <c r="E19" s="45">
        <v>-505</v>
      </c>
      <c r="F19" s="45">
        <v>-617</v>
      </c>
      <c r="G19" s="45">
        <v>-437</v>
      </c>
      <c r="H19" s="45">
        <v>-544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57">
        <f t="shared" si="1"/>
        <v>-2285</v>
      </c>
    </row>
    <row r="20" spans="2:17" x14ac:dyDescent="0.2">
      <c r="B20" s="19" t="s">
        <v>50</v>
      </c>
      <c r="C20" s="45">
        <v>-2831.63</v>
      </c>
      <c r="D20" s="45">
        <v>0</v>
      </c>
      <c r="E20" s="45">
        <v>-2701.2</v>
      </c>
      <c r="F20" s="45">
        <v>-8587.25</v>
      </c>
      <c r="G20" s="45">
        <v>-2701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v>0</v>
      </c>
      <c r="O20" s="57">
        <f t="shared" si="1"/>
        <v>-16821.080000000002</v>
      </c>
    </row>
    <row r="21" spans="2:17" x14ac:dyDescent="0.2">
      <c r="B21" s="15" t="s">
        <v>7</v>
      </c>
      <c r="C21" s="45">
        <v>-2262</v>
      </c>
      <c r="D21" s="45">
        <v>0</v>
      </c>
      <c r="E21" s="79">
        <v>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57">
        <f t="shared" si="1"/>
        <v>-2262</v>
      </c>
    </row>
    <row r="22" spans="2:17" x14ac:dyDescent="0.2">
      <c r="B22" s="15" t="s">
        <v>12</v>
      </c>
      <c r="C22" s="45">
        <f>-5-5-0.8-0.8-400-64</f>
        <v>-475.6</v>
      </c>
      <c r="D22" s="45">
        <v>0</v>
      </c>
      <c r="E22" s="45">
        <f>-5.8+-5.8+-5.8+-5.8+-5.8+-5.8</f>
        <v>-34.799999999999997</v>
      </c>
      <c r="F22" s="45">
        <f>-5-0.8-5-0.8-5-0.8-5-0.8</f>
        <v>-23.200000000000003</v>
      </c>
      <c r="G22" s="45">
        <f>-5-0.8-5-0.8-5-0.8-5-0.8-5-0.8-5-0.8-5-0.8</f>
        <v>-40.599999999999994</v>
      </c>
      <c r="H22" s="45">
        <f>-5-0.8-5-0.8-5-0.8-5-0.8-5-0.8</f>
        <v>-29.000000000000004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57">
        <f t="shared" si="1"/>
        <v>-603.20000000000005</v>
      </c>
    </row>
    <row r="23" spans="2:17" x14ac:dyDescent="0.2">
      <c r="B23" s="15" t="s">
        <v>54</v>
      </c>
      <c r="C23" s="45">
        <v>0</v>
      </c>
      <c r="D23" s="45">
        <v>0</v>
      </c>
      <c r="E23" s="45">
        <f>-400-64</f>
        <v>-464</v>
      </c>
      <c r="F23" s="45">
        <f>-464-328.57</f>
        <v>-792.56999999999994</v>
      </c>
      <c r="G23" s="45">
        <v>-464</v>
      </c>
      <c r="H23" s="45">
        <v>-464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57">
        <f t="shared" si="1"/>
        <v>-2184.5699999999997</v>
      </c>
    </row>
    <row r="24" spans="2:17" x14ac:dyDescent="0.2">
      <c r="B24" s="15" t="s">
        <v>40</v>
      </c>
      <c r="C24" s="45">
        <v>-8932</v>
      </c>
      <c r="D24" s="45">
        <v>0</v>
      </c>
      <c r="E24" s="45">
        <v>-20184</v>
      </c>
      <c r="F24" s="45">
        <v>-8932</v>
      </c>
      <c r="G24" s="45">
        <f>-17864</f>
        <v>-17864</v>
      </c>
      <c r="H24" s="45">
        <v>-11252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57">
        <f t="shared" si="1"/>
        <v>-67164</v>
      </c>
    </row>
    <row r="25" spans="2:17" ht="16" thickBot="1" x14ac:dyDescent="0.25">
      <c r="B25" s="20" t="s">
        <v>41</v>
      </c>
      <c r="C25" s="46">
        <f>-12407.72-290-926.59</f>
        <v>-13624.31</v>
      </c>
      <c r="D25" s="46">
        <f>-926.59</f>
        <v>-926.59</v>
      </c>
      <c r="E25" s="46">
        <f>-926.59-1480.78-5798.3</f>
        <v>-8205.67</v>
      </c>
      <c r="F25" s="46">
        <f>-926.59</f>
        <v>-926.59</v>
      </c>
      <c r="G25" s="46">
        <v>0</v>
      </c>
      <c r="H25" s="46">
        <v>-660</v>
      </c>
      <c r="I25" s="46">
        <v>0</v>
      </c>
      <c r="J25" s="46">
        <v>0</v>
      </c>
      <c r="K25" s="46">
        <v>0</v>
      </c>
      <c r="L25" s="46">
        <v>0</v>
      </c>
      <c r="M25" s="46">
        <v>0</v>
      </c>
      <c r="N25" s="46">
        <v>0</v>
      </c>
      <c r="O25" s="57">
        <f t="shared" si="1"/>
        <v>-24343.16</v>
      </c>
    </row>
    <row r="26" spans="2:17" ht="15" customHeight="1" x14ac:dyDescent="0.2">
      <c r="B26" s="47" t="s">
        <v>28</v>
      </c>
      <c r="C26" s="60">
        <v>-5791.14</v>
      </c>
      <c r="D26" s="61">
        <v>-5744.83</v>
      </c>
      <c r="E26" s="61">
        <v>-5648.76</v>
      </c>
      <c r="F26" s="61">
        <v>0</v>
      </c>
      <c r="G26" s="61">
        <v>-12941.06</v>
      </c>
      <c r="H26" s="61">
        <v>-12941.06</v>
      </c>
      <c r="I26" s="61">
        <v>0</v>
      </c>
      <c r="J26" s="61">
        <v>0</v>
      </c>
      <c r="K26" s="61">
        <v>0</v>
      </c>
      <c r="L26" s="61">
        <v>0</v>
      </c>
      <c r="M26" s="61">
        <v>0</v>
      </c>
      <c r="N26" s="61">
        <v>0</v>
      </c>
      <c r="O26" s="62">
        <f t="shared" si="1"/>
        <v>-43066.85</v>
      </c>
      <c r="P26" s="90" t="s">
        <v>38</v>
      </c>
    </row>
    <row r="27" spans="2:17" x14ac:dyDescent="0.2">
      <c r="B27" s="47" t="s">
        <v>29</v>
      </c>
      <c r="C27" s="49">
        <f>Suscripción!B10*-1</f>
        <v>-146</v>
      </c>
      <c r="D27" s="50">
        <f>Suscripción!C10*-1</f>
        <v>-2356.79</v>
      </c>
      <c r="E27" s="50">
        <f>Suscripción!D10*-1</f>
        <v>-702.8</v>
      </c>
      <c r="F27" s="50">
        <f>Suscripción!E10*-1</f>
        <v>-702.8</v>
      </c>
      <c r="G27" s="50">
        <f>Suscripción!F10*-1</f>
        <v>-702.8</v>
      </c>
      <c r="H27" s="50">
        <f>Suscripción!G10*-1</f>
        <v>-702.8</v>
      </c>
      <c r="I27" s="50">
        <f>Suscripción!H10*-1</f>
        <v>0</v>
      </c>
      <c r="J27" s="50">
        <f>Suscripción!I10*-1</f>
        <v>0</v>
      </c>
      <c r="K27" s="50">
        <f>Suscripción!J10*-1</f>
        <v>0</v>
      </c>
      <c r="L27" s="50">
        <f>Suscripción!K10*-1</f>
        <v>0</v>
      </c>
      <c r="M27" s="50">
        <f>Suscripción!L10*-1</f>
        <v>0</v>
      </c>
      <c r="N27" s="50">
        <f>Suscripción!M10*-1</f>
        <v>0</v>
      </c>
      <c r="O27" s="63">
        <f t="shared" si="1"/>
        <v>-5313.9900000000007</v>
      </c>
      <c r="P27" s="91"/>
    </row>
    <row r="28" spans="2:17" x14ac:dyDescent="0.2">
      <c r="B28" s="47" t="s">
        <v>33</v>
      </c>
      <c r="C28" s="49">
        <f>'Meses Sin Inter'!D5*-1</f>
        <v>-1684.76</v>
      </c>
      <c r="D28" s="50">
        <f>'Meses Sin Inter'!E5*-1</f>
        <v>-1684.76</v>
      </c>
      <c r="E28" s="50">
        <f>'Meses Sin Inter'!F5*-1</f>
        <v>-1684.76</v>
      </c>
      <c r="F28" s="50">
        <v>-1684.76</v>
      </c>
      <c r="G28" s="50">
        <f>'Meses Sin Inter'!H5*-1</f>
        <v>-3671.58</v>
      </c>
      <c r="H28" s="50">
        <f>'Meses Sin Inter'!I5*-1</f>
        <v>-3671.58</v>
      </c>
      <c r="I28" s="50">
        <f>'Meses Sin Inter'!J5*-1</f>
        <v>-3671.58</v>
      </c>
      <c r="J28" s="50">
        <f>'Meses Sin Inter'!K5*-1</f>
        <v>-3671.58</v>
      </c>
      <c r="K28" s="50">
        <f>'Meses Sin Inter'!L5*-1</f>
        <v>-3671.58</v>
      </c>
      <c r="L28" s="50">
        <f>'Meses Sin Inter'!M5*-1</f>
        <v>-1684.76</v>
      </c>
      <c r="M28" s="50">
        <f>'Meses Sin Inter'!N5*-1</f>
        <v>-758.17</v>
      </c>
      <c r="N28" s="50">
        <f>'Meses Sin Inter'!O5*-1</f>
        <v>-758.17</v>
      </c>
      <c r="O28" s="63">
        <f t="shared" si="1"/>
        <v>-28298.039999999997</v>
      </c>
      <c r="P28" s="91"/>
    </row>
    <row r="29" spans="2:17" x14ac:dyDescent="0.2">
      <c r="B29" s="47" t="s">
        <v>5</v>
      </c>
      <c r="C29" s="49">
        <v>-1044</v>
      </c>
      <c r="D29" s="50">
        <v>-1044</v>
      </c>
      <c r="E29" s="50">
        <v>-1044</v>
      </c>
      <c r="F29" s="50">
        <v>-1044</v>
      </c>
      <c r="G29" s="50">
        <v>-1044</v>
      </c>
      <c r="H29" s="50">
        <v>-1044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63">
        <f t="shared" si="1"/>
        <v>-6264</v>
      </c>
      <c r="P29" s="91"/>
    </row>
    <row r="30" spans="2:17" x14ac:dyDescent="0.2">
      <c r="B30" s="47" t="s">
        <v>10</v>
      </c>
      <c r="C30" s="49">
        <f>-3300-630-430.73-278</f>
        <v>-4638.7299999999996</v>
      </c>
      <c r="D30" s="50">
        <f>-476-420-1026</f>
        <v>-1922</v>
      </c>
      <c r="E30" s="50">
        <v>-420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63">
        <f t="shared" si="1"/>
        <v>-6980.73</v>
      </c>
      <c r="P30" s="91"/>
    </row>
    <row r="31" spans="2:17" x14ac:dyDescent="0.2">
      <c r="B31" s="47" t="s">
        <v>55</v>
      </c>
      <c r="C31" s="49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63">
        <f t="shared" si="1"/>
        <v>0</v>
      </c>
      <c r="P31" s="91"/>
    </row>
    <row r="32" spans="2:17" ht="16" thickBot="1" x14ac:dyDescent="0.25">
      <c r="B32" s="47"/>
      <c r="C32" s="49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80">
        <v>0</v>
      </c>
      <c r="O32" s="64">
        <v>0</v>
      </c>
      <c r="P32" s="92"/>
      <c r="Q32" s="82"/>
    </row>
    <row r="33" spans="2:15" ht="16" thickBot="1" x14ac:dyDescent="0.25">
      <c r="B33" s="21" t="s">
        <v>8</v>
      </c>
      <c r="C33" s="81">
        <f t="shared" ref="C33:O33" si="2">SUM(C14:C32)</f>
        <v>-45989.17</v>
      </c>
      <c r="D33" s="56">
        <f t="shared" si="2"/>
        <v>-28929.1</v>
      </c>
      <c r="E33" s="56">
        <f t="shared" si="2"/>
        <v>-64834.450000000004</v>
      </c>
      <c r="F33" s="56">
        <f t="shared" si="2"/>
        <v>-45677.860000000008</v>
      </c>
      <c r="G33" s="56">
        <f t="shared" si="2"/>
        <v>-66925.14</v>
      </c>
      <c r="H33" s="56">
        <f t="shared" si="2"/>
        <v>-49892.82</v>
      </c>
      <c r="I33" s="56">
        <f t="shared" si="2"/>
        <v>-3671.58</v>
      </c>
      <c r="J33" s="56">
        <f t="shared" si="2"/>
        <v>-3671.58</v>
      </c>
      <c r="K33" s="56">
        <f t="shared" si="2"/>
        <v>-3671.58</v>
      </c>
      <c r="L33" s="56">
        <f t="shared" si="2"/>
        <v>-1684.76</v>
      </c>
      <c r="M33" s="56">
        <f t="shared" si="2"/>
        <v>-758.17</v>
      </c>
      <c r="N33" s="56">
        <f t="shared" si="2"/>
        <v>-758.17</v>
      </c>
      <c r="O33" s="68">
        <f t="shared" si="2"/>
        <v>-316464.37999999995</v>
      </c>
    </row>
    <row r="34" spans="2:15" ht="16" thickBot="1" x14ac:dyDescent="0.25">
      <c r="B34" s="51" t="s">
        <v>44</v>
      </c>
      <c r="C34" s="53">
        <f>C12</f>
        <v>59260.58</v>
      </c>
      <c r="D34" s="53">
        <f t="shared" ref="D34:N34" si="3">D12</f>
        <v>23200</v>
      </c>
      <c r="E34" s="53">
        <f t="shared" si="3"/>
        <v>43141.56</v>
      </c>
      <c r="F34" s="53">
        <f t="shared" si="3"/>
        <v>33130.76</v>
      </c>
      <c r="G34" s="53">
        <f t="shared" si="3"/>
        <v>62753.26</v>
      </c>
      <c r="H34" s="53">
        <f t="shared" si="3"/>
        <v>18833.760000000002</v>
      </c>
      <c r="I34" s="53">
        <f t="shared" si="3"/>
        <v>0</v>
      </c>
      <c r="J34" s="53">
        <f t="shared" si="3"/>
        <v>0</v>
      </c>
      <c r="K34" s="53">
        <f t="shared" si="3"/>
        <v>0</v>
      </c>
      <c r="L34" s="53">
        <f t="shared" si="3"/>
        <v>0</v>
      </c>
      <c r="M34" s="53">
        <f t="shared" si="3"/>
        <v>0</v>
      </c>
      <c r="N34" s="53">
        <f t="shared" si="3"/>
        <v>0</v>
      </c>
      <c r="O34" s="65">
        <f t="shared" ref="O34" si="4">O12</f>
        <v>240319.92</v>
      </c>
    </row>
    <row r="35" spans="2:15" ht="16" thickBot="1" x14ac:dyDescent="0.25">
      <c r="B35" s="51" t="s">
        <v>45</v>
      </c>
      <c r="C35" s="53">
        <f>C33</f>
        <v>-45989.17</v>
      </c>
      <c r="D35" s="53">
        <f t="shared" ref="D35:N35" si="5">D33</f>
        <v>-28929.1</v>
      </c>
      <c r="E35" s="53">
        <f t="shared" si="5"/>
        <v>-64834.450000000004</v>
      </c>
      <c r="F35" s="53">
        <f t="shared" si="5"/>
        <v>-45677.860000000008</v>
      </c>
      <c r="G35" s="53">
        <f t="shared" si="5"/>
        <v>-66925.14</v>
      </c>
      <c r="H35" s="53">
        <f t="shared" si="5"/>
        <v>-49892.82</v>
      </c>
      <c r="I35" s="53">
        <f t="shared" si="5"/>
        <v>-3671.58</v>
      </c>
      <c r="J35" s="53">
        <f t="shared" si="5"/>
        <v>-3671.58</v>
      </c>
      <c r="K35" s="53">
        <f t="shared" si="5"/>
        <v>-3671.58</v>
      </c>
      <c r="L35" s="53">
        <f t="shared" si="5"/>
        <v>-1684.76</v>
      </c>
      <c r="M35" s="53">
        <f t="shared" si="5"/>
        <v>-758.17</v>
      </c>
      <c r="N35" s="53">
        <f t="shared" si="5"/>
        <v>-758.17</v>
      </c>
      <c r="O35" s="66">
        <f t="shared" ref="O35" si="6">O33</f>
        <v>-316464.37999999995</v>
      </c>
    </row>
    <row r="36" spans="2:15" ht="16" thickBot="1" x14ac:dyDescent="0.25">
      <c r="B36" s="52" t="s">
        <v>46</v>
      </c>
      <c r="C36" s="54">
        <f>C34+C35</f>
        <v>13271.410000000003</v>
      </c>
      <c r="D36" s="54">
        <f t="shared" ref="D36:N36" si="7">D34+D35</f>
        <v>-5729.0999999999985</v>
      </c>
      <c r="E36" s="54">
        <f t="shared" si="7"/>
        <v>-21692.890000000007</v>
      </c>
      <c r="F36" s="54">
        <f t="shared" si="7"/>
        <v>-12547.100000000006</v>
      </c>
      <c r="G36" s="54">
        <f t="shared" si="7"/>
        <v>-4171.8799999999974</v>
      </c>
      <c r="H36" s="54">
        <f t="shared" si="7"/>
        <v>-31059.059999999998</v>
      </c>
      <c r="I36" s="54">
        <f t="shared" si="7"/>
        <v>-3671.58</v>
      </c>
      <c r="J36" s="54">
        <f t="shared" si="7"/>
        <v>-3671.58</v>
      </c>
      <c r="K36" s="54">
        <f t="shared" si="7"/>
        <v>-3671.58</v>
      </c>
      <c r="L36" s="54">
        <f t="shared" si="7"/>
        <v>-1684.76</v>
      </c>
      <c r="M36" s="54">
        <f t="shared" si="7"/>
        <v>-758.17</v>
      </c>
      <c r="N36" s="54">
        <f t="shared" si="7"/>
        <v>-758.17</v>
      </c>
      <c r="O36" s="67">
        <f>O34+O35</f>
        <v>-76144.459999999934</v>
      </c>
    </row>
    <row r="38" spans="2:15" ht="16" thickBot="1" x14ac:dyDescent="0.25"/>
    <row r="39" spans="2:15" ht="16" thickBot="1" x14ac:dyDescent="0.25">
      <c r="B39" s="22" t="s">
        <v>48</v>
      </c>
      <c r="C39" s="55">
        <v>5996</v>
      </c>
      <c r="D39" s="55">
        <v>14198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0</v>
      </c>
      <c r="K39" s="55">
        <v>0</v>
      </c>
      <c r="L39" s="55">
        <v>0</v>
      </c>
      <c r="M39" s="55">
        <v>0</v>
      </c>
      <c r="N39" s="55">
        <v>0</v>
      </c>
      <c r="O39" s="69">
        <f>SUM(C39:N39)</f>
        <v>20194</v>
      </c>
    </row>
    <row r="40" spans="2:15" ht="16" thickBot="1" x14ac:dyDescent="0.25">
      <c r="B40" s="22" t="s">
        <v>49</v>
      </c>
      <c r="C40" s="55">
        <v>14198</v>
      </c>
      <c r="D40" s="55">
        <v>15786.42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69">
        <f>SUM(C40:N40)</f>
        <v>29984.42</v>
      </c>
    </row>
    <row r="41" spans="2:15" x14ac:dyDescent="0.2">
      <c r="C41" s="75"/>
    </row>
  </sheetData>
  <mergeCells count="6">
    <mergeCell ref="P26:P32"/>
    <mergeCell ref="B2:O2"/>
    <mergeCell ref="B3:O3"/>
    <mergeCell ref="B4:O4"/>
    <mergeCell ref="B8:N8"/>
    <mergeCell ref="B13:N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9FC98-845F-7945-9ED6-2BFAFE80B51B}">
  <dimension ref="A1:W84"/>
  <sheetViews>
    <sheetView workbookViewId="0">
      <selection activeCell="I12" sqref="I12"/>
    </sheetView>
  </sheetViews>
  <sheetFormatPr baseColWidth="10" defaultRowHeight="15" x14ac:dyDescent="0.2"/>
  <cols>
    <col min="1" max="1" width="12.5" bestFit="1" customWidth="1"/>
  </cols>
  <sheetData>
    <row r="1" spans="1:23" x14ac:dyDescent="0.2">
      <c r="A1" s="93" t="s">
        <v>34</v>
      </c>
      <c r="B1" s="94"/>
      <c r="C1" s="99"/>
      <c r="D1" s="99"/>
      <c r="E1" s="100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</row>
    <row r="2" spans="1:23" x14ac:dyDescent="0.2">
      <c r="A2" s="95"/>
      <c r="B2" s="96"/>
      <c r="C2" s="101"/>
      <c r="D2" s="101"/>
      <c r="E2" s="102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</row>
    <row r="3" spans="1:23" ht="16" thickBot="1" x14ac:dyDescent="0.25">
      <c r="A3" s="97"/>
      <c r="B3" s="98"/>
      <c r="C3" s="103"/>
      <c r="D3" s="103"/>
      <c r="E3" s="104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</row>
    <row r="4" spans="1:23" ht="16" thickBot="1" x14ac:dyDescent="0.2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</row>
    <row r="5" spans="1:23" ht="16" thickBot="1" x14ac:dyDescent="0.25">
      <c r="A5" s="28" t="s">
        <v>35</v>
      </c>
      <c r="B5" s="29">
        <f>B20+B33+B50+B67+B84</f>
        <v>-26752.82</v>
      </c>
      <c r="C5" s="30">
        <f>C20+C33+C50+C67+C84</f>
        <v>3369.52</v>
      </c>
      <c r="D5" s="30">
        <f>D20+D33+D50+D67+D84</f>
        <v>1684.76</v>
      </c>
      <c r="E5" s="30">
        <f t="shared" ref="E5:W5" si="0">E20+E33+E50+E67+E84</f>
        <v>1684.76</v>
      </c>
      <c r="F5" s="30">
        <f t="shared" si="0"/>
        <v>1684.76</v>
      </c>
      <c r="G5" s="30">
        <f t="shared" si="0"/>
        <v>3671.58</v>
      </c>
      <c r="H5" s="30">
        <f>H20+H33+H50+H67+H84</f>
        <v>3671.58</v>
      </c>
      <c r="I5" s="30">
        <f t="shared" si="0"/>
        <v>3671.58</v>
      </c>
      <c r="J5" s="30">
        <f t="shared" si="0"/>
        <v>3671.58</v>
      </c>
      <c r="K5" s="30">
        <f t="shared" si="0"/>
        <v>3671.58</v>
      </c>
      <c r="L5" s="30">
        <f t="shared" si="0"/>
        <v>3671.58</v>
      </c>
      <c r="M5" s="30">
        <f t="shared" si="0"/>
        <v>1684.76</v>
      </c>
      <c r="N5" s="30">
        <f t="shared" si="0"/>
        <v>758.17</v>
      </c>
      <c r="O5" s="30">
        <f t="shared" si="0"/>
        <v>758.17</v>
      </c>
      <c r="P5" s="30">
        <f t="shared" si="0"/>
        <v>758.17</v>
      </c>
      <c r="Q5" s="30">
        <f t="shared" si="0"/>
        <v>758.17</v>
      </c>
      <c r="R5" s="30">
        <f t="shared" si="0"/>
        <v>758.17</v>
      </c>
      <c r="S5" s="30">
        <f t="shared" si="0"/>
        <v>758.17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</row>
    <row r="6" spans="1:23" x14ac:dyDescent="0.2">
      <c r="A6" s="31" t="s">
        <v>38</v>
      </c>
      <c r="B6" s="32" t="s">
        <v>36</v>
      </c>
      <c r="C6" s="33">
        <v>45839</v>
      </c>
      <c r="D6" s="33">
        <v>45870</v>
      </c>
      <c r="E6" s="33">
        <v>45901</v>
      </c>
      <c r="F6" s="33">
        <v>45931</v>
      </c>
      <c r="G6" s="33">
        <v>45962</v>
      </c>
      <c r="H6" s="33">
        <v>45992</v>
      </c>
      <c r="I6" s="33">
        <v>46023</v>
      </c>
      <c r="J6" s="33">
        <v>46054</v>
      </c>
      <c r="K6" s="33">
        <v>46082</v>
      </c>
      <c r="L6" s="33">
        <v>46113</v>
      </c>
      <c r="M6" s="33">
        <v>46143</v>
      </c>
      <c r="N6" s="33">
        <v>46174</v>
      </c>
      <c r="O6" s="33">
        <v>46204</v>
      </c>
      <c r="P6" s="33">
        <v>46235</v>
      </c>
      <c r="Q6" s="33">
        <v>46266</v>
      </c>
      <c r="R6" s="33">
        <v>46296</v>
      </c>
      <c r="S6" s="33">
        <v>46327</v>
      </c>
      <c r="T6" s="33">
        <v>46357</v>
      </c>
      <c r="U6" s="33">
        <v>46388</v>
      </c>
      <c r="V6" s="33">
        <v>46419</v>
      </c>
      <c r="W6" s="33">
        <v>46447</v>
      </c>
    </row>
    <row r="7" spans="1:23" x14ac:dyDescent="0.2">
      <c r="A7" s="26" t="s">
        <v>39</v>
      </c>
      <c r="B7" s="27">
        <v>-11119</v>
      </c>
      <c r="C7" s="36">
        <v>1853.18</v>
      </c>
      <c r="D7" s="36">
        <v>926.59</v>
      </c>
      <c r="E7" s="36">
        <v>926.59</v>
      </c>
      <c r="F7" s="36">
        <v>926.59</v>
      </c>
      <c r="G7" s="36">
        <v>926.59</v>
      </c>
      <c r="H7" s="36">
        <v>926.59</v>
      </c>
      <c r="I7" s="36">
        <v>926.59</v>
      </c>
      <c r="J7" s="36">
        <v>926.59</v>
      </c>
      <c r="K7" s="42">
        <v>926.59</v>
      </c>
      <c r="L7" s="42">
        <v>926.59</v>
      </c>
      <c r="M7" s="42">
        <v>926.59</v>
      </c>
      <c r="N7" s="27"/>
      <c r="O7" s="27"/>
      <c r="P7" s="27"/>
      <c r="Q7" s="27"/>
      <c r="R7" s="27"/>
      <c r="S7" s="27"/>
      <c r="T7" s="27"/>
      <c r="U7" s="27"/>
      <c r="V7" s="27"/>
      <c r="W7" s="27"/>
    </row>
    <row r="8" spans="1:23" x14ac:dyDescent="0.2">
      <c r="A8" s="26" t="s">
        <v>37</v>
      </c>
      <c r="B8" s="27">
        <v>-13647</v>
      </c>
      <c r="C8" s="36">
        <v>1516.34</v>
      </c>
      <c r="D8" s="36">
        <v>758.17</v>
      </c>
      <c r="E8" s="36">
        <v>758.17</v>
      </c>
      <c r="F8" s="36">
        <v>758.17</v>
      </c>
      <c r="G8" s="36">
        <v>758.17</v>
      </c>
      <c r="H8" s="36">
        <v>758.17</v>
      </c>
      <c r="I8" s="36">
        <v>758.17</v>
      </c>
      <c r="J8" s="36">
        <v>758.17</v>
      </c>
      <c r="K8" s="42">
        <v>758.17</v>
      </c>
      <c r="L8" s="42">
        <v>758.17</v>
      </c>
      <c r="M8" s="42">
        <v>758.17</v>
      </c>
      <c r="N8" s="42">
        <v>758.17</v>
      </c>
      <c r="O8" s="42">
        <v>758.17</v>
      </c>
      <c r="P8" s="42">
        <v>758.17</v>
      </c>
      <c r="Q8" s="42">
        <v>758.17</v>
      </c>
      <c r="R8" s="42">
        <v>758.17</v>
      </c>
      <c r="S8" s="42">
        <v>758.17</v>
      </c>
      <c r="T8" s="27"/>
      <c r="U8" s="27"/>
      <c r="V8" s="27"/>
      <c r="W8" s="27"/>
    </row>
    <row r="9" spans="1:23" x14ac:dyDescent="0.2">
      <c r="A9" t="s">
        <v>56</v>
      </c>
      <c r="B9" s="27">
        <f>-1643.63-295.85-47.34</f>
        <v>-1986.82</v>
      </c>
      <c r="C9" s="36"/>
      <c r="D9" s="36"/>
      <c r="E9" s="36"/>
      <c r="F9" s="36"/>
      <c r="G9" s="36">
        <v>1986.82</v>
      </c>
      <c r="H9" s="36">
        <v>1986.82</v>
      </c>
      <c r="I9" s="36">
        <v>1986.82</v>
      </c>
      <c r="J9" s="36">
        <v>1986.82</v>
      </c>
      <c r="K9" s="42">
        <v>1986.82</v>
      </c>
      <c r="L9" s="42">
        <v>1986.82</v>
      </c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</row>
    <row r="10" spans="1:23" x14ac:dyDescent="0.2">
      <c r="A10" s="26"/>
      <c r="B10" s="27"/>
      <c r="C10" s="36"/>
      <c r="D10" s="36"/>
      <c r="E10" s="36"/>
      <c r="F10" s="36"/>
      <c r="G10" s="36"/>
      <c r="H10" s="36"/>
      <c r="I10" s="36"/>
      <c r="J10" s="36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</row>
    <row r="11" spans="1:23" x14ac:dyDescent="0.2">
      <c r="A11" s="26"/>
      <c r="B11" s="27"/>
      <c r="C11" s="36"/>
      <c r="D11" s="36"/>
      <c r="E11" s="36"/>
      <c r="F11" s="36"/>
      <c r="G11" s="36"/>
      <c r="H11" s="36"/>
      <c r="I11" s="36"/>
      <c r="J11" s="36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</row>
    <row r="12" spans="1:23" x14ac:dyDescent="0.2">
      <c r="A12" s="26"/>
      <c r="B12" s="27"/>
      <c r="C12" s="36"/>
      <c r="D12" s="36"/>
      <c r="E12" s="36"/>
      <c r="F12" s="36"/>
      <c r="G12" s="36"/>
      <c r="H12" s="36"/>
      <c r="I12" s="36"/>
      <c r="J12" s="36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</row>
    <row r="13" spans="1:23" x14ac:dyDescent="0.2">
      <c r="A13" s="26"/>
      <c r="B13" s="26"/>
      <c r="C13" s="36"/>
      <c r="D13" s="36"/>
      <c r="E13" s="36"/>
      <c r="F13" s="36"/>
      <c r="G13" s="36"/>
      <c r="H13" s="36"/>
      <c r="I13" s="36"/>
      <c r="J13" s="36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</row>
    <row r="14" spans="1:23" x14ac:dyDescent="0.2">
      <c r="A14" s="26"/>
      <c r="B14" s="26"/>
      <c r="C14" s="36"/>
      <c r="D14" s="36"/>
      <c r="E14" s="36"/>
      <c r="F14" s="36"/>
      <c r="G14" s="36"/>
      <c r="H14" s="36"/>
      <c r="I14" s="36"/>
      <c r="J14" s="36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</row>
    <row r="15" spans="1:23" x14ac:dyDescent="0.2">
      <c r="A15" s="26"/>
      <c r="B15" s="27"/>
      <c r="C15" s="36"/>
      <c r="D15" s="36"/>
      <c r="E15" s="36"/>
      <c r="F15" s="36"/>
      <c r="G15" s="36"/>
      <c r="H15" s="36"/>
      <c r="I15" s="36"/>
      <c r="J15" s="36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</row>
    <row r="16" spans="1:23" x14ac:dyDescent="0.2">
      <c r="A16" s="26"/>
      <c r="B16" s="27"/>
      <c r="C16" s="36"/>
      <c r="D16" s="36"/>
      <c r="E16" s="36"/>
      <c r="F16" s="36"/>
      <c r="G16" s="36"/>
      <c r="H16" s="36"/>
      <c r="I16" s="36"/>
      <c r="J16" s="36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</row>
    <row r="17" spans="1:23" x14ac:dyDescent="0.2">
      <c r="A17" s="26"/>
      <c r="B17" s="27"/>
      <c r="C17" s="36"/>
      <c r="D17" s="36"/>
      <c r="E17" s="36"/>
      <c r="F17" s="36"/>
      <c r="G17" s="36"/>
      <c r="H17" s="36"/>
      <c r="I17" s="36"/>
      <c r="J17" s="36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</row>
    <row r="18" spans="1:23" x14ac:dyDescent="0.2">
      <c r="A18" s="26"/>
      <c r="B18" s="27"/>
      <c r="C18" s="36"/>
      <c r="D18" s="36"/>
      <c r="E18" s="36"/>
      <c r="F18" s="36"/>
      <c r="G18" s="36"/>
      <c r="H18" s="36"/>
      <c r="I18" s="36"/>
      <c r="J18" s="36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</row>
    <row r="19" spans="1:23" x14ac:dyDescent="0.2">
      <c r="A19" s="34"/>
      <c r="B19" s="35"/>
      <c r="C19" s="76"/>
      <c r="D19" s="76"/>
      <c r="E19" s="76"/>
      <c r="F19" s="76"/>
      <c r="G19" s="76"/>
      <c r="H19" s="76"/>
      <c r="I19" s="76"/>
      <c r="J19" s="76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</row>
    <row r="20" spans="1:23" x14ac:dyDescent="0.2">
      <c r="A20" s="26"/>
      <c r="B20" s="36">
        <f t="shared" ref="B20:H20" si="1">SUM(B7:B19)</f>
        <v>-26752.82</v>
      </c>
      <c r="C20" s="36">
        <f t="shared" ref="C20" si="2">SUM(C7:C19)</f>
        <v>3369.52</v>
      </c>
      <c r="D20" s="36">
        <f t="shared" si="1"/>
        <v>1684.76</v>
      </c>
      <c r="E20" s="36">
        <f t="shared" si="1"/>
        <v>1684.76</v>
      </c>
      <c r="F20" s="36">
        <f t="shared" si="1"/>
        <v>1684.76</v>
      </c>
      <c r="G20" s="36">
        <f t="shared" si="1"/>
        <v>3671.58</v>
      </c>
      <c r="H20" s="36">
        <f t="shared" si="1"/>
        <v>3671.58</v>
      </c>
      <c r="I20" s="36">
        <f t="shared" ref="I20:W20" si="3">SUM(I7:I19)</f>
        <v>3671.58</v>
      </c>
      <c r="J20" s="36">
        <f t="shared" si="3"/>
        <v>3671.58</v>
      </c>
      <c r="K20" s="36">
        <f t="shared" si="3"/>
        <v>3671.58</v>
      </c>
      <c r="L20" s="36">
        <f t="shared" si="3"/>
        <v>3671.58</v>
      </c>
      <c r="M20" s="36">
        <f t="shared" si="3"/>
        <v>1684.76</v>
      </c>
      <c r="N20" s="36">
        <f t="shared" si="3"/>
        <v>758.17</v>
      </c>
      <c r="O20" s="36">
        <f t="shared" si="3"/>
        <v>758.17</v>
      </c>
      <c r="P20" s="36">
        <f t="shared" si="3"/>
        <v>758.17</v>
      </c>
      <c r="Q20" s="36">
        <f t="shared" si="3"/>
        <v>758.17</v>
      </c>
      <c r="R20" s="36">
        <f t="shared" si="3"/>
        <v>758.17</v>
      </c>
      <c r="S20" s="36">
        <f t="shared" si="3"/>
        <v>758.17</v>
      </c>
      <c r="T20" s="36">
        <f t="shared" si="3"/>
        <v>0</v>
      </c>
      <c r="U20" s="36">
        <f t="shared" si="3"/>
        <v>0</v>
      </c>
      <c r="V20" s="36">
        <f t="shared" si="3"/>
        <v>0</v>
      </c>
      <c r="W20" s="36">
        <f t="shared" si="3"/>
        <v>0</v>
      </c>
    </row>
    <row r="21" spans="1:23" x14ac:dyDescent="0.2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</row>
    <row r="22" spans="1:23" x14ac:dyDescent="0.2">
      <c r="A22" s="38"/>
      <c r="B22" s="32"/>
      <c r="C22" s="33">
        <v>45870</v>
      </c>
      <c r="D22" s="33">
        <v>45870</v>
      </c>
      <c r="E22" s="33">
        <v>45901</v>
      </c>
      <c r="F22" s="33">
        <v>45931</v>
      </c>
      <c r="G22" s="33">
        <v>45962</v>
      </c>
      <c r="H22" s="33">
        <v>45992</v>
      </c>
      <c r="I22" s="33">
        <v>46023</v>
      </c>
      <c r="J22" s="33">
        <v>46054</v>
      </c>
      <c r="K22" s="33">
        <v>46082</v>
      </c>
      <c r="L22" s="33">
        <v>46113</v>
      </c>
      <c r="M22" s="33">
        <v>46143</v>
      </c>
      <c r="N22" s="33">
        <v>46174</v>
      </c>
      <c r="O22" s="33">
        <v>46204</v>
      </c>
      <c r="P22" s="33">
        <v>46235</v>
      </c>
      <c r="Q22" s="33">
        <v>46266</v>
      </c>
      <c r="R22" s="33">
        <v>46296</v>
      </c>
      <c r="S22" s="33">
        <v>46327</v>
      </c>
      <c r="T22" s="33">
        <v>46357</v>
      </c>
      <c r="U22" s="33">
        <v>46388</v>
      </c>
      <c r="V22" s="33">
        <v>46419</v>
      </c>
      <c r="W22" s="33">
        <v>46447</v>
      </c>
    </row>
    <row r="23" spans="1:23" x14ac:dyDescent="0.2">
      <c r="A23" s="26"/>
      <c r="B23" s="27"/>
      <c r="C23" s="26"/>
      <c r="D23" s="26"/>
      <c r="E23" s="42"/>
      <c r="F23" s="42"/>
      <c r="G23" s="42"/>
      <c r="H23" s="42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</row>
    <row r="24" spans="1:23" x14ac:dyDescent="0.2">
      <c r="A24" s="26"/>
      <c r="B24" s="27"/>
      <c r="C24" s="26"/>
      <c r="D24" s="26"/>
      <c r="E24" s="42"/>
      <c r="F24" s="42"/>
      <c r="G24" s="42"/>
      <c r="H24" s="42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</row>
    <row r="25" spans="1:23" x14ac:dyDescent="0.2">
      <c r="A25" s="26"/>
      <c r="B25" s="27"/>
      <c r="C25" s="42"/>
      <c r="D25" s="42"/>
      <c r="E25" s="42"/>
      <c r="F25" s="42"/>
      <c r="G25" s="42"/>
      <c r="H25" s="42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</row>
    <row r="26" spans="1:23" x14ac:dyDescent="0.2">
      <c r="A26" s="26"/>
      <c r="B26" s="27"/>
      <c r="C26" s="42"/>
      <c r="D26" s="42"/>
      <c r="E26" s="42"/>
      <c r="F26" s="42"/>
      <c r="G26" s="42"/>
      <c r="H26" s="42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</row>
    <row r="27" spans="1:23" x14ac:dyDescent="0.2">
      <c r="A27" s="26"/>
      <c r="B27" s="27"/>
      <c r="C27" s="42"/>
      <c r="D27" s="42"/>
      <c r="E27" s="42"/>
      <c r="F27" s="42"/>
      <c r="G27" s="42"/>
      <c r="H27" s="42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</row>
    <row r="28" spans="1:23" x14ac:dyDescent="0.2">
      <c r="A28" s="26"/>
      <c r="B28" s="26"/>
      <c r="C28" s="43"/>
      <c r="D28" s="43"/>
      <c r="E28" s="43"/>
      <c r="F28" s="43"/>
      <c r="G28" s="43"/>
      <c r="H28" s="43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27"/>
      <c r="U28" s="27"/>
      <c r="V28" s="27"/>
      <c r="W28" s="27"/>
    </row>
    <row r="29" spans="1:23" x14ac:dyDescent="0.2">
      <c r="A29" s="26"/>
      <c r="B29" s="27"/>
      <c r="C29" s="42"/>
      <c r="D29" s="42"/>
      <c r="E29" s="42"/>
      <c r="F29" s="42"/>
      <c r="G29" s="42"/>
      <c r="H29" s="42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</row>
    <row r="30" spans="1:23" x14ac:dyDescent="0.2">
      <c r="A30" s="26"/>
      <c r="B30" s="27"/>
      <c r="C30" s="42"/>
      <c r="D30" s="42"/>
      <c r="E30" s="42"/>
      <c r="F30" s="42"/>
      <c r="G30" s="42"/>
      <c r="H30" s="42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</row>
    <row r="31" spans="1:23" x14ac:dyDescent="0.2">
      <c r="A31" s="26"/>
      <c r="B31" s="27"/>
      <c r="C31" s="42"/>
      <c r="D31" s="42"/>
      <c r="E31" s="42"/>
      <c r="F31" s="42"/>
      <c r="G31" s="42"/>
      <c r="H31" s="42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</row>
    <row r="32" spans="1:23" x14ac:dyDescent="0.2">
      <c r="A32" s="40"/>
      <c r="B32" s="35"/>
      <c r="C32" s="44"/>
      <c r="D32" s="44"/>
      <c r="E32" s="44"/>
      <c r="F32" s="44"/>
      <c r="G32" s="44"/>
      <c r="H32" s="44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</row>
    <row r="33" spans="1:23" x14ac:dyDescent="0.2">
      <c r="A33" s="26"/>
      <c r="B33" s="36">
        <f>SUM(B23:B32)</f>
        <v>0</v>
      </c>
      <c r="C33" s="36">
        <f t="shared" ref="C33" si="4">SUM(C23:C32)</f>
        <v>0</v>
      </c>
      <c r="D33" s="36">
        <f t="shared" ref="D33:W33" si="5">SUM(D23:D32)</f>
        <v>0</v>
      </c>
      <c r="E33" s="36">
        <f t="shared" si="5"/>
        <v>0</v>
      </c>
      <c r="F33" s="36">
        <f t="shared" si="5"/>
        <v>0</v>
      </c>
      <c r="G33" s="36">
        <f t="shared" si="5"/>
        <v>0</v>
      </c>
      <c r="H33" s="36">
        <f t="shared" si="5"/>
        <v>0</v>
      </c>
      <c r="I33" s="36">
        <f t="shared" si="5"/>
        <v>0</v>
      </c>
      <c r="J33" s="36">
        <f t="shared" si="5"/>
        <v>0</v>
      </c>
      <c r="K33" s="36">
        <f t="shared" si="5"/>
        <v>0</v>
      </c>
      <c r="L33" s="36">
        <f t="shared" si="5"/>
        <v>0</v>
      </c>
      <c r="M33" s="36">
        <f t="shared" si="5"/>
        <v>0</v>
      </c>
      <c r="N33" s="36">
        <f t="shared" si="5"/>
        <v>0</v>
      </c>
      <c r="O33" s="36">
        <f t="shared" si="5"/>
        <v>0</v>
      </c>
      <c r="P33" s="36">
        <f t="shared" si="5"/>
        <v>0</v>
      </c>
      <c r="Q33" s="36">
        <f t="shared" si="5"/>
        <v>0</v>
      </c>
      <c r="R33" s="36">
        <f t="shared" si="5"/>
        <v>0</v>
      </c>
      <c r="S33" s="36">
        <f t="shared" si="5"/>
        <v>0</v>
      </c>
      <c r="T33" s="36">
        <f t="shared" si="5"/>
        <v>0</v>
      </c>
      <c r="U33" s="36">
        <f t="shared" si="5"/>
        <v>0</v>
      </c>
      <c r="V33" s="36">
        <f t="shared" si="5"/>
        <v>0</v>
      </c>
      <c r="W33" s="36">
        <f t="shared" si="5"/>
        <v>0</v>
      </c>
    </row>
    <row r="34" spans="1:23" x14ac:dyDescent="0.2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</row>
    <row r="35" spans="1:23" x14ac:dyDescent="0.2">
      <c r="A35" s="38"/>
      <c r="B35" s="32"/>
      <c r="C35" s="33">
        <v>45870</v>
      </c>
      <c r="D35" s="33">
        <v>45870</v>
      </c>
      <c r="E35" s="33">
        <v>45901</v>
      </c>
      <c r="F35" s="33">
        <v>45931</v>
      </c>
      <c r="G35" s="33">
        <v>45962</v>
      </c>
      <c r="H35" s="33">
        <v>45992</v>
      </c>
      <c r="I35" s="33">
        <v>46023</v>
      </c>
      <c r="J35" s="33">
        <v>46054</v>
      </c>
      <c r="K35" s="33">
        <v>46082</v>
      </c>
      <c r="L35" s="33">
        <v>46113</v>
      </c>
      <c r="M35" s="33">
        <v>46143</v>
      </c>
      <c r="N35" s="33">
        <v>46174</v>
      </c>
      <c r="O35" s="33">
        <v>46204</v>
      </c>
      <c r="P35" s="33">
        <v>46235</v>
      </c>
      <c r="Q35" s="33">
        <v>46266</v>
      </c>
      <c r="R35" s="33">
        <v>46296</v>
      </c>
      <c r="S35" s="33">
        <v>46327</v>
      </c>
      <c r="T35" s="33">
        <v>46357</v>
      </c>
      <c r="U35" s="33">
        <v>46388</v>
      </c>
      <c r="V35" s="33">
        <v>46419</v>
      </c>
      <c r="W35" s="33">
        <v>46447</v>
      </c>
    </row>
    <row r="36" spans="1:23" x14ac:dyDescent="0.2">
      <c r="A36" s="26"/>
      <c r="B36" s="27"/>
      <c r="C36" s="42"/>
      <c r="D36" s="42"/>
      <c r="E36" s="42"/>
      <c r="F36" s="42"/>
      <c r="G36" s="42"/>
      <c r="H36" s="42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</row>
    <row r="37" spans="1:23" x14ac:dyDescent="0.2">
      <c r="A37" s="26"/>
      <c r="B37" s="27"/>
      <c r="C37" s="42"/>
      <c r="D37" s="42"/>
      <c r="E37" s="42"/>
      <c r="F37" s="42"/>
      <c r="G37" s="42"/>
      <c r="H37" s="42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</row>
    <row r="38" spans="1:23" x14ac:dyDescent="0.2">
      <c r="A38" s="26"/>
      <c r="B38" s="27"/>
      <c r="C38" s="42"/>
      <c r="D38" s="42"/>
      <c r="E38" s="42"/>
      <c r="F38" s="42"/>
      <c r="G38" s="42"/>
      <c r="H38" s="42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</row>
    <row r="39" spans="1:23" x14ac:dyDescent="0.2">
      <c r="A39" s="26"/>
      <c r="B39" s="27"/>
      <c r="C39" s="42"/>
      <c r="D39" s="42"/>
      <c r="E39" s="42"/>
      <c r="F39" s="42"/>
      <c r="G39" s="42"/>
      <c r="H39" s="42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</row>
    <row r="40" spans="1:23" x14ac:dyDescent="0.2">
      <c r="A40" s="26"/>
      <c r="B40" s="27"/>
      <c r="C40" s="42"/>
      <c r="D40" s="42"/>
      <c r="E40" s="42"/>
      <c r="F40" s="42"/>
      <c r="G40" s="42"/>
      <c r="H40" s="42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</row>
    <row r="41" spans="1:23" x14ac:dyDescent="0.2">
      <c r="A41" s="26"/>
      <c r="B41" s="27"/>
      <c r="C41" s="42"/>
      <c r="D41" s="42"/>
      <c r="E41" s="42"/>
      <c r="F41" s="42"/>
      <c r="G41" s="42"/>
      <c r="H41" s="42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</row>
    <row r="42" spans="1:23" x14ac:dyDescent="0.2">
      <c r="A42" s="26"/>
      <c r="B42" s="27"/>
      <c r="C42" s="42"/>
      <c r="D42" s="42"/>
      <c r="E42" s="42"/>
      <c r="F42" s="42"/>
      <c r="G42" s="42"/>
      <c r="H42" s="42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</row>
    <row r="43" spans="1:23" x14ac:dyDescent="0.2">
      <c r="A43" s="26"/>
      <c r="B43" s="27"/>
      <c r="C43" s="42"/>
      <c r="D43" s="42"/>
      <c r="E43" s="42"/>
      <c r="F43" s="42"/>
      <c r="G43" s="42"/>
      <c r="H43" s="42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</row>
    <row r="44" spans="1:23" x14ac:dyDescent="0.2">
      <c r="A44" s="26"/>
      <c r="B44" s="39"/>
      <c r="C44" s="43"/>
      <c r="D44" s="43"/>
      <c r="E44" s="43"/>
      <c r="F44" s="43"/>
      <c r="G44" s="43"/>
      <c r="H44" s="43"/>
      <c r="I44" s="39"/>
      <c r="J44" s="39"/>
      <c r="K44" s="39"/>
      <c r="L44" s="39"/>
      <c r="M44" s="39"/>
      <c r="N44" s="27"/>
      <c r="O44" s="27"/>
      <c r="P44" s="27"/>
      <c r="Q44" s="27"/>
      <c r="R44" s="27"/>
      <c r="S44" s="27"/>
      <c r="T44" s="27"/>
      <c r="U44" s="27"/>
      <c r="V44" s="27"/>
      <c r="W44" s="27"/>
    </row>
    <row r="45" spans="1:23" x14ac:dyDescent="0.2">
      <c r="A45" s="26"/>
      <c r="B45" s="27"/>
      <c r="C45" s="42"/>
      <c r="D45" s="42"/>
      <c r="E45" s="42"/>
      <c r="F45" s="42"/>
      <c r="G45" s="42"/>
      <c r="H45" s="42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</row>
    <row r="46" spans="1:23" x14ac:dyDescent="0.2">
      <c r="A46" s="26"/>
      <c r="B46" s="27"/>
      <c r="C46" s="42"/>
      <c r="D46" s="42"/>
      <c r="E46" s="42"/>
      <c r="F46" s="42"/>
      <c r="G46" s="42"/>
      <c r="H46" s="43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</row>
    <row r="47" spans="1:23" x14ac:dyDescent="0.2">
      <c r="A47" s="41"/>
      <c r="B47" s="39"/>
      <c r="C47" s="43"/>
      <c r="D47" s="43"/>
      <c r="E47" s="43"/>
      <c r="F47" s="43"/>
      <c r="G47" s="43"/>
      <c r="H47" s="43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</row>
    <row r="48" spans="1:23" x14ac:dyDescent="0.2">
      <c r="A48" s="41"/>
      <c r="B48" s="27"/>
      <c r="C48" s="42"/>
      <c r="D48" s="42"/>
      <c r="E48" s="42"/>
      <c r="F48" s="42"/>
      <c r="G48" s="42"/>
      <c r="H48" s="42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</row>
    <row r="49" spans="1:23" x14ac:dyDescent="0.2">
      <c r="A49" s="40"/>
      <c r="B49" s="35"/>
      <c r="C49" s="44"/>
      <c r="D49" s="44"/>
      <c r="E49" s="44"/>
      <c r="F49" s="44"/>
      <c r="G49" s="44"/>
      <c r="H49" s="44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</row>
    <row r="50" spans="1:23" x14ac:dyDescent="0.2">
      <c r="A50" s="26"/>
      <c r="B50" s="36">
        <f>SUM(B36:B49)</f>
        <v>0</v>
      </c>
      <c r="C50" s="36">
        <f t="shared" ref="C50" si="6">SUM(C36:C49)</f>
        <v>0</v>
      </c>
      <c r="D50" s="36">
        <f t="shared" ref="D50:W50" si="7">SUM(D36:D49)</f>
        <v>0</v>
      </c>
      <c r="E50" s="36">
        <f t="shared" si="7"/>
        <v>0</v>
      </c>
      <c r="F50" s="36">
        <f t="shared" si="7"/>
        <v>0</v>
      </c>
      <c r="G50" s="36">
        <f t="shared" si="7"/>
        <v>0</v>
      </c>
      <c r="H50" s="36">
        <f>SUM(H36:H49)</f>
        <v>0</v>
      </c>
      <c r="I50" s="36">
        <f t="shared" si="7"/>
        <v>0</v>
      </c>
      <c r="J50" s="36">
        <f t="shared" si="7"/>
        <v>0</v>
      </c>
      <c r="K50" s="36">
        <f t="shared" si="7"/>
        <v>0</v>
      </c>
      <c r="L50" s="36">
        <f t="shared" si="7"/>
        <v>0</v>
      </c>
      <c r="M50" s="36">
        <f t="shared" si="7"/>
        <v>0</v>
      </c>
      <c r="N50" s="36">
        <f t="shared" si="7"/>
        <v>0</v>
      </c>
      <c r="O50" s="36">
        <f t="shared" si="7"/>
        <v>0</v>
      </c>
      <c r="P50" s="36">
        <f t="shared" si="7"/>
        <v>0</v>
      </c>
      <c r="Q50" s="36">
        <f t="shared" si="7"/>
        <v>0</v>
      </c>
      <c r="R50" s="36">
        <f t="shared" si="7"/>
        <v>0</v>
      </c>
      <c r="S50" s="36">
        <f t="shared" si="7"/>
        <v>0</v>
      </c>
      <c r="T50" s="36">
        <f t="shared" si="7"/>
        <v>0</v>
      </c>
      <c r="U50" s="36">
        <f t="shared" si="7"/>
        <v>0</v>
      </c>
      <c r="V50" s="36">
        <f t="shared" si="7"/>
        <v>0</v>
      </c>
      <c r="W50" s="36">
        <f t="shared" si="7"/>
        <v>0</v>
      </c>
    </row>
    <row r="51" spans="1:23" x14ac:dyDescent="0.2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</row>
    <row r="52" spans="1:23" x14ac:dyDescent="0.2">
      <c r="A52" s="38"/>
      <c r="B52" s="32"/>
      <c r="C52" s="33">
        <v>45870</v>
      </c>
      <c r="D52" s="33">
        <v>45870</v>
      </c>
      <c r="E52" s="33">
        <v>45901</v>
      </c>
      <c r="F52" s="33">
        <v>45931</v>
      </c>
      <c r="G52" s="33">
        <v>45962</v>
      </c>
      <c r="H52" s="33">
        <v>45992</v>
      </c>
      <c r="I52" s="33">
        <v>46023</v>
      </c>
      <c r="J52" s="33">
        <v>46054</v>
      </c>
      <c r="K52" s="33">
        <v>46082</v>
      </c>
      <c r="L52" s="33">
        <v>46113</v>
      </c>
      <c r="M52" s="33">
        <v>46143</v>
      </c>
      <c r="N52" s="33">
        <v>46174</v>
      </c>
      <c r="O52" s="33">
        <v>46204</v>
      </c>
      <c r="P52" s="33">
        <v>46235</v>
      </c>
      <c r="Q52" s="33">
        <v>46266</v>
      </c>
      <c r="R52" s="33">
        <v>46296</v>
      </c>
      <c r="S52" s="33">
        <v>46327</v>
      </c>
      <c r="T52" s="33">
        <v>46357</v>
      </c>
      <c r="U52" s="33">
        <v>46388</v>
      </c>
      <c r="V52" s="33">
        <v>46419</v>
      </c>
      <c r="W52" s="33">
        <v>46447</v>
      </c>
    </row>
    <row r="53" spans="1:23" x14ac:dyDescent="0.2">
      <c r="A53" s="26"/>
      <c r="B53" s="27"/>
      <c r="C53" s="42"/>
      <c r="D53" s="42"/>
      <c r="E53" s="42"/>
      <c r="F53" s="42"/>
      <c r="G53" s="42"/>
      <c r="H53" s="42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</row>
    <row r="54" spans="1:23" x14ac:dyDescent="0.2">
      <c r="A54" s="26"/>
      <c r="B54" s="27"/>
      <c r="C54" s="42"/>
      <c r="D54" s="42"/>
      <c r="E54" s="42"/>
      <c r="F54" s="42"/>
      <c r="G54" s="42"/>
      <c r="H54" s="42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</row>
    <row r="55" spans="1:23" x14ac:dyDescent="0.2">
      <c r="A55" s="26"/>
      <c r="B55" s="27"/>
      <c r="C55" s="42"/>
      <c r="D55" s="42"/>
      <c r="E55" s="42"/>
      <c r="F55" s="42"/>
      <c r="G55" s="42"/>
      <c r="H55" s="42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</row>
    <row r="56" spans="1:23" x14ac:dyDescent="0.2">
      <c r="A56" s="26"/>
      <c r="B56" s="27"/>
      <c r="C56" s="42"/>
      <c r="D56" s="42"/>
      <c r="E56" s="42"/>
      <c r="F56" s="42"/>
      <c r="G56" s="42"/>
      <c r="H56" s="42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</row>
    <row r="57" spans="1:23" x14ac:dyDescent="0.2">
      <c r="A57" s="26"/>
      <c r="B57" s="27"/>
      <c r="C57" s="42"/>
      <c r="D57" s="42"/>
      <c r="E57" s="42"/>
      <c r="F57" s="42"/>
      <c r="G57" s="42"/>
      <c r="H57" s="42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</row>
    <row r="58" spans="1:23" x14ac:dyDescent="0.2">
      <c r="A58" s="26"/>
      <c r="B58" s="27"/>
      <c r="C58" s="42"/>
      <c r="D58" s="42"/>
      <c r="E58" s="42"/>
      <c r="F58" s="42"/>
      <c r="G58" s="42"/>
      <c r="H58" s="42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</row>
    <row r="59" spans="1:23" x14ac:dyDescent="0.2">
      <c r="A59" s="26"/>
      <c r="B59" s="27"/>
      <c r="C59" s="42"/>
      <c r="D59" s="42"/>
      <c r="E59" s="42"/>
      <c r="F59" s="42"/>
      <c r="G59" s="42"/>
      <c r="H59" s="42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</row>
    <row r="60" spans="1:23" x14ac:dyDescent="0.2">
      <c r="A60" s="26"/>
      <c r="B60" s="27"/>
      <c r="C60" s="42"/>
      <c r="D60" s="42"/>
      <c r="E60" s="42"/>
      <c r="F60" s="42"/>
      <c r="G60" s="42"/>
      <c r="H60" s="42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</row>
    <row r="61" spans="1:23" x14ac:dyDescent="0.2">
      <c r="A61" s="26"/>
      <c r="B61" s="27"/>
      <c r="C61" s="42"/>
      <c r="D61" s="42"/>
      <c r="E61" s="42"/>
      <c r="F61" s="42"/>
      <c r="G61" s="42"/>
      <c r="H61" s="42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</row>
    <row r="62" spans="1:23" x14ac:dyDescent="0.2">
      <c r="A62" s="26"/>
      <c r="B62" s="27"/>
      <c r="C62" s="42"/>
      <c r="D62" s="42"/>
      <c r="E62" s="42"/>
      <c r="F62" s="42"/>
      <c r="G62" s="42"/>
      <c r="H62" s="42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</row>
    <row r="63" spans="1:23" x14ac:dyDescent="0.2">
      <c r="A63" s="26"/>
      <c r="B63" s="27"/>
      <c r="C63" s="42"/>
      <c r="D63" s="42"/>
      <c r="E63" s="42"/>
      <c r="F63" s="42"/>
      <c r="G63" s="42"/>
      <c r="H63" s="42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</row>
    <row r="64" spans="1:23" x14ac:dyDescent="0.2">
      <c r="A64" s="26"/>
      <c r="B64" s="39"/>
      <c r="C64" s="43"/>
      <c r="D64" s="43"/>
      <c r="E64" s="43"/>
      <c r="F64" s="43"/>
      <c r="G64" s="43"/>
      <c r="H64" s="43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</row>
    <row r="65" spans="1:23" x14ac:dyDescent="0.2">
      <c r="A65" s="26"/>
      <c r="B65" s="27"/>
      <c r="C65" s="42"/>
      <c r="D65" s="42"/>
      <c r="E65" s="42"/>
      <c r="F65" s="42"/>
      <c r="G65" s="42"/>
      <c r="H65" s="42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</row>
    <row r="66" spans="1:23" x14ac:dyDescent="0.2">
      <c r="A66" s="34"/>
      <c r="B66" s="35"/>
      <c r="C66" s="44"/>
      <c r="D66" s="44"/>
      <c r="E66" s="44"/>
      <c r="F66" s="44"/>
      <c r="G66" s="44"/>
      <c r="H66" s="44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</row>
    <row r="67" spans="1:23" x14ac:dyDescent="0.2">
      <c r="A67" s="26"/>
      <c r="B67" s="36">
        <f>SUM(B53:B66)</f>
        <v>0</v>
      </c>
      <c r="C67" s="36">
        <f t="shared" ref="C67" si="8">SUM(C53:C66)</f>
        <v>0</v>
      </c>
      <c r="D67" s="36">
        <f t="shared" ref="D67:G67" si="9">SUM(D53:D66)</f>
        <v>0</v>
      </c>
      <c r="E67" s="36">
        <f t="shared" si="9"/>
        <v>0</v>
      </c>
      <c r="F67" s="36">
        <f t="shared" si="9"/>
        <v>0</v>
      </c>
      <c r="G67" s="36">
        <f t="shared" si="9"/>
        <v>0</v>
      </c>
      <c r="H67" s="36">
        <f>SUM(H53:H66)</f>
        <v>0</v>
      </c>
      <c r="I67" s="36">
        <f t="shared" ref="I67:W67" si="10">SUM(I53:I66)</f>
        <v>0</v>
      </c>
      <c r="J67" s="36">
        <f t="shared" si="10"/>
        <v>0</v>
      </c>
      <c r="K67" s="36">
        <f t="shared" si="10"/>
        <v>0</v>
      </c>
      <c r="L67" s="36">
        <f t="shared" si="10"/>
        <v>0</v>
      </c>
      <c r="M67" s="36">
        <f t="shared" si="10"/>
        <v>0</v>
      </c>
      <c r="N67" s="36">
        <f t="shared" si="10"/>
        <v>0</v>
      </c>
      <c r="O67" s="36">
        <f t="shared" si="10"/>
        <v>0</v>
      </c>
      <c r="P67" s="36">
        <f t="shared" si="10"/>
        <v>0</v>
      </c>
      <c r="Q67" s="36">
        <f t="shared" si="10"/>
        <v>0</v>
      </c>
      <c r="R67" s="36">
        <f t="shared" si="10"/>
        <v>0</v>
      </c>
      <c r="S67" s="36">
        <f t="shared" si="10"/>
        <v>0</v>
      </c>
      <c r="T67" s="36">
        <f t="shared" si="10"/>
        <v>0</v>
      </c>
      <c r="U67" s="36">
        <f t="shared" si="10"/>
        <v>0</v>
      </c>
      <c r="V67" s="36">
        <f t="shared" si="10"/>
        <v>0</v>
      </c>
      <c r="W67" s="36">
        <f t="shared" si="10"/>
        <v>0</v>
      </c>
    </row>
    <row r="68" spans="1:23" x14ac:dyDescent="0.2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</row>
    <row r="69" spans="1:23" x14ac:dyDescent="0.2">
      <c r="A69" s="38"/>
      <c r="B69" s="32" t="s">
        <v>36</v>
      </c>
      <c r="C69" s="33">
        <v>45870</v>
      </c>
      <c r="D69" s="33">
        <v>45870</v>
      </c>
      <c r="E69" s="33">
        <v>45901</v>
      </c>
      <c r="F69" s="33">
        <v>45931</v>
      </c>
      <c r="G69" s="33">
        <v>45962</v>
      </c>
      <c r="H69" s="33">
        <v>45992</v>
      </c>
      <c r="I69" s="33">
        <v>46023</v>
      </c>
      <c r="J69" s="33">
        <v>46054</v>
      </c>
      <c r="K69" s="33">
        <v>46082</v>
      </c>
      <c r="L69" s="33">
        <v>46113</v>
      </c>
      <c r="M69" s="33">
        <v>46143</v>
      </c>
      <c r="N69" s="33">
        <v>46174</v>
      </c>
      <c r="O69" s="33">
        <v>46204</v>
      </c>
      <c r="P69" s="33">
        <v>46235</v>
      </c>
      <c r="Q69" s="33">
        <v>46266</v>
      </c>
      <c r="R69" s="33">
        <v>46296</v>
      </c>
      <c r="S69" s="33">
        <v>46327</v>
      </c>
      <c r="T69" s="33">
        <v>46357</v>
      </c>
      <c r="U69" s="33">
        <v>46388</v>
      </c>
      <c r="V69" s="33">
        <v>46419</v>
      </c>
      <c r="W69" s="33">
        <v>46447</v>
      </c>
    </row>
    <row r="70" spans="1:23" x14ac:dyDescent="0.2">
      <c r="A70" s="26"/>
      <c r="B70" s="27"/>
      <c r="C70" s="42"/>
      <c r="D70" s="42"/>
      <c r="E70" s="42"/>
      <c r="F70" s="42"/>
      <c r="G70" s="42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</row>
    <row r="71" spans="1:23" x14ac:dyDescent="0.2">
      <c r="A71" s="26"/>
      <c r="B71" s="27"/>
      <c r="C71" s="42"/>
      <c r="D71" s="42"/>
      <c r="E71" s="42"/>
      <c r="F71" s="42"/>
      <c r="G71" s="42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</row>
    <row r="72" spans="1:23" x14ac:dyDescent="0.2">
      <c r="A72" s="26"/>
      <c r="B72" s="27"/>
      <c r="C72" s="42"/>
      <c r="D72" s="42"/>
      <c r="E72" s="42"/>
      <c r="F72" s="42"/>
      <c r="G72" s="42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</row>
    <row r="73" spans="1:23" x14ac:dyDescent="0.2">
      <c r="A73" s="26"/>
      <c r="B73" s="27"/>
      <c r="C73" s="42"/>
      <c r="D73" s="42"/>
      <c r="E73" s="42"/>
      <c r="F73" s="42"/>
      <c r="G73" s="42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</row>
    <row r="74" spans="1:23" x14ac:dyDescent="0.2">
      <c r="A74" s="26"/>
      <c r="B74" s="27"/>
      <c r="C74" s="42"/>
      <c r="D74" s="42"/>
      <c r="E74" s="42"/>
      <c r="F74" s="42"/>
      <c r="G74" s="42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</row>
    <row r="75" spans="1:23" x14ac:dyDescent="0.2">
      <c r="A75" s="26"/>
      <c r="B75" s="27"/>
      <c r="C75" s="42"/>
      <c r="D75" s="42"/>
      <c r="E75" s="42"/>
      <c r="F75" s="42"/>
      <c r="G75" s="42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</row>
    <row r="76" spans="1:23" x14ac:dyDescent="0.2">
      <c r="A76" s="26"/>
      <c r="B76" s="27"/>
      <c r="C76" s="42"/>
      <c r="D76" s="42"/>
      <c r="E76" s="42"/>
      <c r="F76" s="42"/>
      <c r="G76" s="42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</row>
    <row r="77" spans="1:23" x14ac:dyDescent="0.2">
      <c r="A77" s="26"/>
      <c r="B77" s="27"/>
      <c r="C77" s="42"/>
      <c r="D77" s="42"/>
      <c r="E77" s="42"/>
      <c r="F77" s="42"/>
      <c r="G77" s="42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</row>
    <row r="78" spans="1:23" x14ac:dyDescent="0.2">
      <c r="A78" s="26"/>
      <c r="B78" s="27"/>
      <c r="C78" s="42"/>
      <c r="D78" s="42"/>
      <c r="E78" s="42"/>
      <c r="F78" s="42"/>
      <c r="G78" s="42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</row>
    <row r="79" spans="1:23" x14ac:dyDescent="0.2">
      <c r="A79" s="26"/>
      <c r="B79" s="27"/>
      <c r="C79" s="42"/>
      <c r="D79" s="42"/>
      <c r="E79" s="42"/>
      <c r="F79" s="42"/>
      <c r="G79" s="42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</row>
    <row r="80" spans="1:23" x14ac:dyDescent="0.2">
      <c r="A80" s="26"/>
      <c r="B80" s="27"/>
      <c r="C80" s="42"/>
      <c r="D80" s="42"/>
      <c r="E80" s="42"/>
      <c r="F80" s="42"/>
      <c r="G80" s="42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</row>
    <row r="81" spans="1:23" x14ac:dyDescent="0.2">
      <c r="A81" s="26"/>
      <c r="B81" s="39"/>
      <c r="C81" s="43"/>
      <c r="D81" s="43"/>
      <c r="E81" s="43"/>
      <c r="F81" s="43"/>
      <c r="G81" s="43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</row>
    <row r="82" spans="1:23" x14ac:dyDescent="0.2">
      <c r="A82" s="26"/>
      <c r="B82" s="27"/>
      <c r="C82" s="42"/>
      <c r="D82" s="42"/>
      <c r="E82" s="42"/>
      <c r="F82" s="42"/>
      <c r="G82" s="42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</row>
    <row r="83" spans="1:23" x14ac:dyDescent="0.2">
      <c r="A83" s="34"/>
      <c r="B83" s="35"/>
      <c r="C83" s="44"/>
      <c r="D83" s="44"/>
      <c r="E83" s="44"/>
      <c r="F83" s="44"/>
      <c r="G83" s="44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</row>
    <row r="84" spans="1:23" x14ac:dyDescent="0.2">
      <c r="A84" s="26"/>
      <c r="B84" s="36">
        <f>SUM(B70:B83)</f>
        <v>0</v>
      </c>
      <c r="C84" s="36">
        <f t="shared" ref="C84" si="11">SUM(C70:C83)</f>
        <v>0</v>
      </c>
      <c r="D84" s="36">
        <f t="shared" ref="D84:G84" si="12">SUM(D70:D83)</f>
        <v>0</v>
      </c>
      <c r="E84" s="36">
        <f t="shared" si="12"/>
        <v>0</v>
      </c>
      <c r="F84" s="36">
        <f t="shared" si="12"/>
        <v>0</v>
      </c>
      <c r="G84" s="36">
        <f t="shared" si="12"/>
        <v>0</v>
      </c>
      <c r="H84" s="36">
        <f>SUM(H70:H83)</f>
        <v>0</v>
      </c>
      <c r="I84" s="36">
        <f t="shared" ref="I84:W84" si="13">SUM(I70:I83)</f>
        <v>0</v>
      </c>
      <c r="J84" s="36">
        <f t="shared" si="13"/>
        <v>0</v>
      </c>
      <c r="K84" s="36">
        <f t="shared" si="13"/>
        <v>0</v>
      </c>
      <c r="L84" s="36">
        <f t="shared" si="13"/>
        <v>0</v>
      </c>
      <c r="M84" s="36">
        <f t="shared" si="13"/>
        <v>0</v>
      </c>
      <c r="N84" s="36">
        <f t="shared" si="13"/>
        <v>0</v>
      </c>
      <c r="O84" s="36">
        <f t="shared" si="13"/>
        <v>0</v>
      </c>
      <c r="P84" s="36">
        <f t="shared" si="13"/>
        <v>0</v>
      </c>
      <c r="Q84" s="36">
        <f t="shared" si="13"/>
        <v>0</v>
      </c>
      <c r="R84" s="36">
        <f t="shared" si="13"/>
        <v>0</v>
      </c>
      <c r="S84" s="36">
        <f t="shared" si="13"/>
        <v>0</v>
      </c>
      <c r="T84" s="36">
        <f t="shared" si="13"/>
        <v>0</v>
      </c>
      <c r="U84" s="36">
        <f t="shared" si="13"/>
        <v>0</v>
      </c>
      <c r="V84" s="36">
        <f t="shared" si="13"/>
        <v>0</v>
      </c>
      <c r="W84" s="36">
        <f t="shared" si="13"/>
        <v>0</v>
      </c>
    </row>
  </sheetData>
  <mergeCells count="2">
    <mergeCell ref="A1:B3"/>
    <mergeCell ref="C1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BC64C-EDAC-3B49-8347-5CC39CC322B7}">
  <dimension ref="A1:P29"/>
  <sheetViews>
    <sheetView zoomScale="110" zoomScaleNormal="110" workbookViewId="0">
      <selection activeCell="G3" sqref="G3"/>
    </sheetView>
  </sheetViews>
  <sheetFormatPr baseColWidth="10" defaultRowHeight="15" x14ac:dyDescent="0.2"/>
  <cols>
    <col min="1" max="1" width="12.6640625" bestFit="1" customWidth="1"/>
  </cols>
  <sheetData>
    <row r="1" spans="1:14" ht="16" thickBot="1" x14ac:dyDescent="0.25">
      <c r="A1" t="s">
        <v>32</v>
      </c>
    </row>
    <row r="2" spans="1:14" ht="16" thickBot="1" x14ac:dyDescent="0.25">
      <c r="A2" s="3" t="s">
        <v>1</v>
      </c>
      <c r="B2" s="9">
        <v>45870</v>
      </c>
      <c r="C2" s="9">
        <v>45901</v>
      </c>
      <c r="D2" s="9">
        <v>45931</v>
      </c>
      <c r="E2" s="9">
        <v>45962</v>
      </c>
      <c r="F2" s="9">
        <v>45992</v>
      </c>
      <c r="G2" s="9">
        <v>46023</v>
      </c>
      <c r="H2" s="9">
        <v>46054</v>
      </c>
      <c r="I2" s="9">
        <v>46082</v>
      </c>
      <c r="J2" s="9">
        <v>46113</v>
      </c>
      <c r="K2" s="9">
        <v>46143</v>
      </c>
      <c r="L2" s="9">
        <v>46174</v>
      </c>
      <c r="M2" s="9">
        <v>46204</v>
      </c>
      <c r="N2" s="5" t="s">
        <v>2</v>
      </c>
    </row>
    <row r="3" spans="1:14" ht="16" thickBot="1" x14ac:dyDescent="0.25">
      <c r="A3" s="23" t="s">
        <v>31</v>
      </c>
      <c r="B3" s="25">
        <v>17</v>
      </c>
      <c r="C3" s="25">
        <v>17</v>
      </c>
      <c r="D3" s="25">
        <v>17</v>
      </c>
      <c r="E3" s="25">
        <v>17</v>
      </c>
      <c r="F3" s="25">
        <v>17</v>
      </c>
      <c r="G3" s="25">
        <v>17</v>
      </c>
      <c r="H3" s="25"/>
      <c r="I3" s="25"/>
      <c r="J3" s="25"/>
      <c r="K3" s="25"/>
      <c r="L3" s="25"/>
      <c r="M3" s="25"/>
      <c r="N3" s="24">
        <f>SUM(B3:M3)</f>
        <v>102</v>
      </c>
    </row>
    <row r="4" spans="1:14" ht="16" thickBot="1" x14ac:dyDescent="0.25">
      <c r="A4" s="23" t="s">
        <v>42</v>
      </c>
      <c r="B4" s="25">
        <v>129</v>
      </c>
      <c r="C4" s="25">
        <v>129</v>
      </c>
      <c r="D4" s="25">
        <v>129</v>
      </c>
      <c r="E4" s="25">
        <v>129</v>
      </c>
      <c r="F4" s="25">
        <v>129</v>
      </c>
      <c r="G4" s="25">
        <v>129</v>
      </c>
      <c r="H4" s="25"/>
      <c r="I4" s="25"/>
      <c r="J4" s="25"/>
      <c r="K4" s="25"/>
      <c r="L4" s="25"/>
      <c r="M4" s="25"/>
      <c r="N4" s="24">
        <f>SUM(B4:M4)</f>
        <v>774</v>
      </c>
    </row>
    <row r="5" spans="1:14" ht="16" thickBot="1" x14ac:dyDescent="0.25">
      <c r="A5" s="23" t="s">
        <v>43</v>
      </c>
      <c r="B5" s="25"/>
      <c r="C5" s="25">
        <f>720+1113.6+377.19</f>
        <v>2210.79</v>
      </c>
      <c r="D5" s="25">
        <v>556.79999999999995</v>
      </c>
      <c r="E5" s="25">
        <v>556.79999999999995</v>
      </c>
      <c r="F5" s="25">
        <v>556.79999999999995</v>
      </c>
      <c r="G5" s="25">
        <v>556.79999999999995</v>
      </c>
      <c r="H5" s="25"/>
      <c r="I5" s="25"/>
      <c r="J5" s="25"/>
      <c r="K5" s="25"/>
      <c r="L5" s="25"/>
      <c r="M5" s="25"/>
      <c r="N5" s="24"/>
    </row>
    <row r="6" spans="1:14" ht="16" thickBot="1" x14ac:dyDescent="0.25">
      <c r="A6" s="23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4">
        <f>SUM(B6:M6)</f>
        <v>0</v>
      </c>
    </row>
    <row r="7" spans="1:14" ht="16" thickBot="1" x14ac:dyDescent="0.25">
      <c r="A7" s="23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4">
        <f>SUM(B7:M7)</f>
        <v>0</v>
      </c>
    </row>
    <row r="8" spans="1:14" ht="16" thickBot="1" x14ac:dyDescent="0.25">
      <c r="A8" s="23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4"/>
    </row>
    <row r="9" spans="1:14" ht="16" thickBot="1" x14ac:dyDescent="0.25">
      <c r="A9" s="23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4">
        <f>SUM(B9:M9)</f>
        <v>0</v>
      </c>
    </row>
    <row r="10" spans="1:14" ht="16" thickBot="1" x14ac:dyDescent="0.25">
      <c r="A10" s="23" t="s">
        <v>30</v>
      </c>
      <c r="B10" s="10">
        <f>SUM(B3:B9)</f>
        <v>146</v>
      </c>
      <c r="C10" s="10">
        <f t="shared" ref="C10:M10" si="0">SUM(C3:C9)</f>
        <v>2356.79</v>
      </c>
      <c r="D10" s="10">
        <f t="shared" si="0"/>
        <v>702.8</v>
      </c>
      <c r="E10" s="10">
        <f t="shared" si="0"/>
        <v>702.8</v>
      </c>
      <c r="F10" s="10">
        <f t="shared" si="0"/>
        <v>702.8</v>
      </c>
      <c r="G10" s="10">
        <f t="shared" si="0"/>
        <v>702.8</v>
      </c>
      <c r="H10" s="10">
        <f t="shared" si="0"/>
        <v>0</v>
      </c>
      <c r="I10" s="10">
        <f t="shared" si="0"/>
        <v>0</v>
      </c>
      <c r="J10" s="10">
        <f t="shared" si="0"/>
        <v>0</v>
      </c>
      <c r="K10" s="10">
        <f t="shared" si="0"/>
        <v>0</v>
      </c>
      <c r="L10" s="10">
        <f t="shared" si="0"/>
        <v>0</v>
      </c>
      <c r="M10" s="10">
        <f t="shared" si="0"/>
        <v>0</v>
      </c>
      <c r="N10" s="10">
        <f>SUM(B10:M10)</f>
        <v>5313.9900000000007</v>
      </c>
    </row>
    <row r="29" spans="16:16" x14ac:dyDescent="0.2">
      <c r="P29" s="4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B5F4-B83A-5A48-AC0C-C8A877A5FC27}">
  <dimension ref="A1:N9"/>
  <sheetViews>
    <sheetView workbookViewId="0">
      <selection activeCell="G4" sqref="G4"/>
    </sheetView>
  </sheetViews>
  <sheetFormatPr baseColWidth="10" defaultRowHeight="15" x14ac:dyDescent="0.2"/>
  <cols>
    <col min="1" max="1" width="12.6640625" bestFit="1" customWidth="1"/>
  </cols>
  <sheetData>
    <row r="1" spans="1:14" ht="16" thickBot="1" x14ac:dyDescent="0.25">
      <c r="A1" t="s">
        <v>22</v>
      </c>
    </row>
    <row r="2" spans="1:14" ht="16" thickBot="1" x14ac:dyDescent="0.25">
      <c r="A2" s="3" t="s">
        <v>1</v>
      </c>
      <c r="B2" s="9">
        <v>45870</v>
      </c>
      <c r="C2" s="9">
        <v>45901</v>
      </c>
      <c r="D2" s="9">
        <v>45931</v>
      </c>
      <c r="E2" s="9">
        <v>45962</v>
      </c>
      <c r="F2" s="9">
        <v>45992</v>
      </c>
      <c r="G2" s="9">
        <v>46023</v>
      </c>
      <c r="H2" s="9">
        <v>46054</v>
      </c>
      <c r="I2" s="9">
        <v>46082</v>
      </c>
      <c r="J2" s="9">
        <v>46113</v>
      </c>
      <c r="K2" s="9">
        <v>46143</v>
      </c>
      <c r="L2" s="9">
        <v>46174</v>
      </c>
      <c r="M2" s="9">
        <v>46204</v>
      </c>
      <c r="N2" s="5" t="s">
        <v>2</v>
      </c>
    </row>
    <row r="3" spans="1:14" x14ac:dyDescent="0.2">
      <c r="A3" s="105" t="s">
        <v>23</v>
      </c>
      <c r="B3" s="1">
        <v>0</v>
      </c>
      <c r="C3" s="1">
        <v>5000</v>
      </c>
      <c r="D3" s="1">
        <v>4999.78</v>
      </c>
      <c r="E3" s="1">
        <v>4999.78</v>
      </c>
      <c r="F3" s="1">
        <v>3999.83</v>
      </c>
      <c r="G3" s="1">
        <v>5290.69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08">
        <f>SUM(B5:M5)</f>
        <v>52200.21</v>
      </c>
    </row>
    <row r="4" spans="1:14" ht="16" thickBot="1" x14ac:dyDescent="0.25">
      <c r="A4" s="106"/>
      <c r="B4" s="1">
        <v>2500</v>
      </c>
      <c r="C4" s="1">
        <v>6120.05</v>
      </c>
      <c r="D4" s="1">
        <v>4999.78</v>
      </c>
      <c r="E4" s="1">
        <v>3999.83</v>
      </c>
      <c r="F4" s="1">
        <v>4999.78</v>
      </c>
      <c r="G4" s="1">
        <v>5290.69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09"/>
    </row>
    <row r="5" spans="1:14" ht="16" thickBot="1" x14ac:dyDescent="0.25">
      <c r="A5" s="107"/>
      <c r="B5" s="10">
        <f>SUM(B3:B4)</f>
        <v>2500</v>
      </c>
      <c r="C5" s="10">
        <f t="shared" ref="C5:M5" si="0">SUM(C3:C4)</f>
        <v>11120.05</v>
      </c>
      <c r="D5" s="10">
        <f t="shared" si="0"/>
        <v>9999.56</v>
      </c>
      <c r="E5" s="10">
        <f t="shared" si="0"/>
        <v>8999.61</v>
      </c>
      <c r="F5" s="10">
        <f t="shared" si="0"/>
        <v>8999.61</v>
      </c>
      <c r="G5" s="10">
        <f t="shared" si="0"/>
        <v>10581.38</v>
      </c>
      <c r="H5" s="10">
        <f t="shared" si="0"/>
        <v>0</v>
      </c>
      <c r="I5" s="10">
        <f t="shared" si="0"/>
        <v>0</v>
      </c>
      <c r="J5" s="10">
        <f t="shared" si="0"/>
        <v>0</v>
      </c>
      <c r="K5" s="10">
        <f t="shared" si="0"/>
        <v>0</v>
      </c>
      <c r="L5" s="10">
        <f t="shared" si="0"/>
        <v>0</v>
      </c>
      <c r="M5" s="10">
        <f t="shared" si="0"/>
        <v>0</v>
      </c>
      <c r="N5" s="110"/>
    </row>
    <row r="6" spans="1:14" ht="16" customHeight="1" x14ac:dyDescent="0.2">
      <c r="A6" s="111" t="s">
        <v>24</v>
      </c>
      <c r="B6" s="1">
        <v>0</v>
      </c>
      <c r="C6" s="1">
        <v>2065.04</v>
      </c>
      <c r="D6" s="1">
        <v>1767.86</v>
      </c>
      <c r="E6" s="1">
        <v>2065.04</v>
      </c>
      <c r="F6" s="1">
        <v>2065.04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14">
        <f>SUM(B8:M8)</f>
        <v>17049.349999999999</v>
      </c>
    </row>
    <row r="7" spans="1:14" ht="16" thickBot="1" x14ac:dyDescent="0.25">
      <c r="A7" s="112"/>
      <c r="B7" s="1">
        <v>1125</v>
      </c>
      <c r="C7" s="1">
        <v>2065.04</v>
      </c>
      <c r="D7" s="1">
        <v>2065.04</v>
      </c>
      <c r="E7" s="1">
        <v>2065.04</v>
      </c>
      <c r="F7" s="1">
        <v>1766.25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15"/>
    </row>
    <row r="8" spans="1:14" ht="16" thickBot="1" x14ac:dyDescent="0.25">
      <c r="A8" s="113"/>
      <c r="B8" s="11">
        <f>SUM(B6:B7)</f>
        <v>1125</v>
      </c>
      <c r="C8" s="11">
        <f t="shared" ref="C8:M8" si="1">SUM(C6:C7)</f>
        <v>4130.08</v>
      </c>
      <c r="D8" s="11">
        <f t="shared" si="1"/>
        <v>3832.8999999999996</v>
      </c>
      <c r="E8" s="11">
        <f t="shared" si="1"/>
        <v>4130.08</v>
      </c>
      <c r="F8" s="11">
        <f t="shared" si="1"/>
        <v>3831.29</v>
      </c>
      <c r="G8" s="11">
        <f t="shared" si="1"/>
        <v>0</v>
      </c>
      <c r="H8" s="11">
        <f t="shared" si="1"/>
        <v>0</v>
      </c>
      <c r="I8" s="11">
        <f t="shared" si="1"/>
        <v>0</v>
      </c>
      <c r="J8" s="11">
        <f t="shared" si="1"/>
        <v>0</v>
      </c>
      <c r="K8" s="11">
        <f t="shared" si="1"/>
        <v>0</v>
      </c>
      <c r="L8" s="11">
        <f t="shared" si="1"/>
        <v>0</v>
      </c>
      <c r="M8" s="14">
        <f t="shared" si="1"/>
        <v>0</v>
      </c>
      <c r="N8" s="116"/>
    </row>
    <row r="9" spans="1:14" ht="16" thickBot="1" x14ac:dyDescent="0.25">
      <c r="A9" s="12" t="s">
        <v>27</v>
      </c>
      <c r="B9" s="13">
        <f>B5+B8</f>
        <v>3625</v>
      </c>
      <c r="C9" s="13">
        <f t="shared" ref="C9:M9" si="2">C5+C8</f>
        <v>15250.13</v>
      </c>
      <c r="D9" s="13">
        <f t="shared" si="2"/>
        <v>13832.46</v>
      </c>
      <c r="E9" s="13">
        <f t="shared" si="2"/>
        <v>13129.69</v>
      </c>
      <c r="F9" s="13">
        <f t="shared" si="2"/>
        <v>12830.900000000001</v>
      </c>
      <c r="G9" s="13">
        <f t="shared" si="2"/>
        <v>10581.38</v>
      </c>
      <c r="H9" s="13">
        <f t="shared" si="2"/>
        <v>0</v>
      </c>
      <c r="I9" s="13">
        <f t="shared" si="2"/>
        <v>0</v>
      </c>
      <c r="J9" s="13">
        <f t="shared" si="2"/>
        <v>0</v>
      </c>
      <c r="K9" s="13">
        <f t="shared" si="2"/>
        <v>0</v>
      </c>
      <c r="L9" s="13">
        <f t="shared" si="2"/>
        <v>0</v>
      </c>
      <c r="M9" s="13">
        <f t="shared" si="2"/>
        <v>0</v>
      </c>
      <c r="N9" s="13">
        <f>SUM(B9:M9)</f>
        <v>69249.56</v>
      </c>
    </row>
  </sheetData>
  <mergeCells count="4">
    <mergeCell ref="A3:A5"/>
    <mergeCell ref="N3:N5"/>
    <mergeCell ref="A6:A8"/>
    <mergeCell ref="N6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Flujo</vt:lpstr>
      <vt:lpstr>Meses Sin Inter</vt:lpstr>
      <vt:lpstr>Suscripción</vt:lpstr>
      <vt:lpstr>Nomina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Wlodawer</cp:lastModifiedBy>
  <dcterms:created xsi:type="dcterms:W3CDTF">2018-09-03T14:19:58Z</dcterms:created>
  <dcterms:modified xsi:type="dcterms:W3CDTF">2026-02-26T23:29:48Z</dcterms:modified>
</cp:coreProperties>
</file>